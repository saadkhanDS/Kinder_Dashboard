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saadk\Downloads\"/>
    </mc:Choice>
  </mc:AlternateContent>
  <xr:revisionPtr revIDLastSave="0" documentId="13_ncr:1_{195C244C-A96E-4492-ACEE-AFFC9F371C6C}" xr6:coauthVersionLast="47" xr6:coauthVersionMax="47" xr10:uidLastSave="{00000000-0000-0000-0000-000000000000}"/>
  <bookViews>
    <workbookView xWindow="-120" yWindow="-120" windowWidth="29040" windowHeight="15720" firstSheet="1" activeTab="4" xr2:uid="{0F9C8EAF-B56F-4A49-85FC-E63A6E9B0DE2}"/>
  </bookViews>
  <sheets>
    <sheet name="Hidden Sheet, Store" sheetId="4" state="hidden" r:id="rId1"/>
    <sheet name="Developmental Milestone" sheetId="2" r:id="rId2"/>
    <sheet name="Dashboard Dev Milestones" sheetId="7" r:id="rId3"/>
    <sheet name="Activity" sheetId="1" r:id="rId4"/>
    <sheet name="Observation" sheetId="5" r:id="rId5"/>
  </sheets>
  <definedNames>
    <definedName name="_xlnm._FilterDatabase" localSheetId="1" hidden="1">'Developmental Milestone'!$B$4:$B$36</definedName>
    <definedName name="Mylist">OFFSET('Hidden Sheet, Store'!$A$1,0,0,COUNTA('Hidden Sheet, Store'!$A:$A),1)</definedName>
    <definedName name="Slicer_Age_Group">#N/A</definedName>
  </definedNames>
  <calcPr calcId="191029"/>
  <pivotCaches>
    <pivotCache cacheId="5"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0" i="5" l="1"/>
  <c r="M40" i="5"/>
  <c r="L40" i="5"/>
  <c r="K40" i="5"/>
  <c r="J40" i="5"/>
  <c r="I40" i="5"/>
  <c r="H40" i="5"/>
  <c r="G40" i="5"/>
  <c r="F40" i="5"/>
  <c r="E40" i="5"/>
  <c r="D40" i="5"/>
  <c r="C40" i="5"/>
  <c r="O39" i="5"/>
  <c r="A39" i="5"/>
  <c r="O38" i="5"/>
  <c r="A38" i="5"/>
  <c r="O37" i="5"/>
  <c r="A37" i="5"/>
  <c r="O36" i="5"/>
  <c r="A36" i="5"/>
  <c r="O35" i="5"/>
  <c r="A35" i="5"/>
  <c r="O34" i="5"/>
  <c r="A34" i="5"/>
  <c r="O33" i="5"/>
  <c r="A33" i="5"/>
  <c r="O32" i="5"/>
  <c r="A32" i="5"/>
  <c r="O31" i="5"/>
  <c r="A31" i="5"/>
  <c r="O30" i="5"/>
  <c r="A30" i="5"/>
  <c r="O29" i="5"/>
  <c r="A29" i="5"/>
  <c r="O28" i="5"/>
  <c r="A28" i="5"/>
  <c r="O27" i="5"/>
  <c r="A27" i="5"/>
  <c r="O26" i="5"/>
  <c r="A26" i="5"/>
  <c r="O25" i="5"/>
  <c r="A25" i="5"/>
  <c r="O24" i="5"/>
  <c r="A24" i="5"/>
  <c r="O23" i="5"/>
  <c r="A23" i="5"/>
  <c r="O22" i="5"/>
  <c r="A22" i="5"/>
  <c r="O21" i="5"/>
  <c r="A21" i="5"/>
  <c r="O20" i="5"/>
  <c r="A20" i="5"/>
  <c r="O19" i="5"/>
  <c r="A19" i="5"/>
  <c r="O18" i="5"/>
  <c r="A18" i="5"/>
  <c r="O17" i="5"/>
  <c r="A17" i="5"/>
  <c r="O16" i="5"/>
  <c r="A16" i="5"/>
  <c r="O15" i="5"/>
  <c r="A15" i="5"/>
  <c r="O14" i="5"/>
  <c r="A14" i="5"/>
  <c r="O13" i="5"/>
  <c r="A13" i="5"/>
  <c r="O12" i="5"/>
  <c r="A12" i="5"/>
  <c r="O11" i="5"/>
  <c r="A11" i="5"/>
  <c r="O10" i="5"/>
  <c r="A10" i="5"/>
  <c r="O9" i="5"/>
  <c r="A9" i="5"/>
  <c r="O8" i="5"/>
  <c r="A8" i="5"/>
  <c r="O7" i="5"/>
  <c r="A7" i="5"/>
  <c r="O6" i="5"/>
  <c r="A6" i="5"/>
  <c r="B2" i="2"/>
  <c r="A36" i="2" s="1"/>
  <c r="Q161" i="1"/>
  <c r="P161" i="1"/>
  <c r="O161" i="1"/>
  <c r="N161" i="1"/>
  <c r="M161" i="1"/>
  <c r="Q160" i="1"/>
  <c r="P160" i="1"/>
  <c r="O160" i="1"/>
  <c r="N160" i="1"/>
  <c r="M160" i="1"/>
  <c r="Q159" i="1"/>
  <c r="P159" i="1"/>
  <c r="O159" i="1"/>
  <c r="N159" i="1"/>
  <c r="M159" i="1"/>
  <c r="Q158" i="1"/>
  <c r="P158" i="1"/>
  <c r="O158" i="1"/>
  <c r="N158" i="1"/>
  <c r="M158" i="1"/>
  <c r="Q157" i="1"/>
  <c r="P157" i="1"/>
  <c r="O157" i="1"/>
  <c r="N157" i="1"/>
  <c r="M157" i="1"/>
  <c r="Q156" i="1"/>
  <c r="P156" i="1"/>
  <c r="O156" i="1"/>
  <c r="N156" i="1"/>
  <c r="M156" i="1"/>
  <c r="Q155" i="1"/>
  <c r="P155" i="1"/>
  <c r="O155" i="1"/>
  <c r="N155" i="1"/>
  <c r="M155" i="1"/>
  <c r="Q154" i="1"/>
  <c r="P154" i="1"/>
  <c r="O154" i="1"/>
  <c r="N154" i="1"/>
  <c r="M154" i="1"/>
  <c r="Q153" i="1"/>
  <c r="P153" i="1"/>
  <c r="O153" i="1"/>
  <c r="N153" i="1"/>
  <c r="M153" i="1"/>
  <c r="Q152" i="1"/>
  <c r="P152" i="1"/>
  <c r="O152" i="1"/>
  <c r="N152" i="1"/>
  <c r="M152" i="1"/>
  <c r="Q151" i="1"/>
  <c r="P151" i="1"/>
  <c r="O151" i="1"/>
  <c r="N151" i="1"/>
  <c r="M151" i="1"/>
  <c r="Q150" i="1"/>
  <c r="P150" i="1"/>
  <c r="O150" i="1"/>
  <c r="N150" i="1"/>
  <c r="M150" i="1"/>
  <c r="Q149" i="1"/>
  <c r="P149" i="1"/>
  <c r="O149" i="1"/>
  <c r="N149" i="1"/>
  <c r="M149" i="1"/>
  <c r="Q148" i="1"/>
  <c r="P148" i="1"/>
  <c r="O148" i="1"/>
  <c r="N148" i="1"/>
  <c r="M148" i="1"/>
  <c r="Q147" i="1"/>
  <c r="P147" i="1"/>
  <c r="O147" i="1"/>
  <c r="N147" i="1"/>
  <c r="M147" i="1"/>
  <c r="Q146" i="1"/>
  <c r="P146" i="1"/>
  <c r="O146" i="1"/>
  <c r="N146" i="1"/>
  <c r="M146" i="1"/>
  <c r="Q145" i="1"/>
  <c r="P145" i="1"/>
  <c r="O145" i="1"/>
  <c r="N145" i="1"/>
  <c r="M145" i="1"/>
  <c r="Q144" i="1"/>
  <c r="P144" i="1"/>
  <c r="O144" i="1"/>
  <c r="N144" i="1"/>
  <c r="M144" i="1"/>
  <c r="Q143" i="1"/>
  <c r="P143" i="1"/>
  <c r="O143" i="1"/>
  <c r="N143" i="1"/>
  <c r="M143" i="1"/>
  <c r="Q142" i="1"/>
  <c r="P142" i="1"/>
  <c r="O142" i="1"/>
  <c r="N142" i="1"/>
  <c r="M142" i="1"/>
  <c r="Q141" i="1"/>
  <c r="P141" i="1"/>
  <c r="O141" i="1"/>
  <c r="N141" i="1"/>
  <c r="M141" i="1"/>
  <c r="Q140" i="1"/>
  <c r="P140" i="1"/>
  <c r="O140" i="1"/>
  <c r="N140" i="1"/>
  <c r="M140" i="1"/>
  <c r="Q139" i="1"/>
  <c r="P139" i="1"/>
  <c r="O139" i="1"/>
  <c r="N139" i="1"/>
  <c r="M139" i="1"/>
  <c r="Q138" i="1"/>
  <c r="P138" i="1"/>
  <c r="O138" i="1"/>
  <c r="N138" i="1"/>
  <c r="M138" i="1"/>
  <c r="Q137" i="1"/>
  <c r="P137" i="1"/>
  <c r="O137" i="1"/>
  <c r="N137" i="1"/>
  <c r="M137" i="1"/>
  <c r="Q136" i="1"/>
  <c r="P136" i="1"/>
  <c r="O136" i="1"/>
  <c r="N136" i="1"/>
  <c r="M136" i="1"/>
  <c r="Q135" i="1"/>
  <c r="P135" i="1"/>
  <c r="O135" i="1"/>
  <c r="N135" i="1"/>
  <c r="M135" i="1"/>
  <c r="Q134" i="1"/>
  <c r="P134" i="1"/>
  <c r="O134" i="1"/>
  <c r="N134" i="1"/>
  <c r="M134" i="1"/>
  <c r="Q133" i="1"/>
  <c r="P133" i="1"/>
  <c r="O133" i="1"/>
  <c r="N133" i="1"/>
  <c r="M133" i="1"/>
  <c r="Q132" i="1"/>
  <c r="P132" i="1"/>
  <c r="O132" i="1"/>
  <c r="N132" i="1"/>
  <c r="M132" i="1"/>
  <c r="Q131" i="1"/>
  <c r="P131" i="1"/>
  <c r="O131" i="1"/>
  <c r="N131" i="1"/>
  <c r="M131" i="1"/>
  <c r="Q130" i="1"/>
  <c r="P130" i="1"/>
  <c r="O130" i="1"/>
  <c r="N130" i="1"/>
  <c r="M130" i="1"/>
  <c r="Q129" i="1"/>
  <c r="P129" i="1"/>
  <c r="O129" i="1"/>
  <c r="N129" i="1"/>
  <c r="M129" i="1"/>
  <c r="Q128" i="1"/>
  <c r="P128" i="1"/>
  <c r="O128" i="1"/>
  <c r="N128" i="1"/>
  <c r="M128" i="1"/>
  <c r="Q127" i="1"/>
  <c r="P127" i="1"/>
  <c r="O127" i="1"/>
  <c r="N127" i="1"/>
  <c r="M127" i="1"/>
  <c r="Q126" i="1"/>
  <c r="P126" i="1"/>
  <c r="O126" i="1"/>
  <c r="N126" i="1"/>
  <c r="M126" i="1"/>
  <c r="Q125" i="1"/>
  <c r="P125" i="1"/>
  <c r="O125" i="1"/>
  <c r="N125" i="1"/>
  <c r="M125" i="1"/>
  <c r="Q124" i="1"/>
  <c r="P124" i="1"/>
  <c r="O124" i="1"/>
  <c r="N124" i="1"/>
  <c r="M124" i="1"/>
  <c r="Q123" i="1"/>
  <c r="P123" i="1"/>
  <c r="O123" i="1"/>
  <c r="N123" i="1"/>
  <c r="M123" i="1"/>
  <c r="Q122" i="1"/>
  <c r="P122" i="1"/>
  <c r="O122" i="1"/>
  <c r="N122" i="1"/>
  <c r="M122" i="1"/>
  <c r="Q121" i="1"/>
  <c r="P121" i="1"/>
  <c r="O121" i="1"/>
  <c r="N121" i="1"/>
  <c r="M121" i="1"/>
  <c r="Q120" i="1"/>
  <c r="P120" i="1"/>
  <c r="O120" i="1"/>
  <c r="N120" i="1"/>
  <c r="M120" i="1"/>
  <c r="Q119" i="1"/>
  <c r="P119" i="1"/>
  <c r="O119" i="1"/>
  <c r="N119" i="1"/>
  <c r="M119" i="1"/>
  <c r="Q118" i="1"/>
  <c r="P118" i="1"/>
  <c r="O118" i="1"/>
  <c r="N118" i="1"/>
  <c r="M118" i="1"/>
  <c r="Q117" i="1"/>
  <c r="P117" i="1"/>
  <c r="O117" i="1"/>
  <c r="N117" i="1"/>
  <c r="M117" i="1"/>
  <c r="Q116" i="1"/>
  <c r="P116" i="1"/>
  <c r="O116" i="1"/>
  <c r="N116" i="1"/>
  <c r="M116" i="1"/>
  <c r="Q115" i="1"/>
  <c r="P115" i="1"/>
  <c r="O115" i="1"/>
  <c r="N115" i="1"/>
  <c r="M115" i="1"/>
  <c r="Q114" i="1"/>
  <c r="P114" i="1"/>
  <c r="O114" i="1"/>
  <c r="N114" i="1"/>
  <c r="M114" i="1"/>
  <c r="Q113" i="1"/>
  <c r="P113" i="1"/>
  <c r="O113" i="1"/>
  <c r="N113" i="1"/>
  <c r="M113" i="1"/>
  <c r="Q112" i="1"/>
  <c r="P112" i="1"/>
  <c r="O112" i="1"/>
  <c r="N112" i="1"/>
  <c r="M112" i="1"/>
  <c r="Q111" i="1"/>
  <c r="P111" i="1"/>
  <c r="O111" i="1"/>
  <c r="N111" i="1"/>
  <c r="M111" i="1"/>
  <c r="Q110" i="1"/>
  <c r="P110" i="1"/>
  <c r="O110" i="1"/>
  <c r="N110" i="1"/>
  <c r="M110" i="1"/>
  <c r="Q109" i="1"/>
  <c r="P109" i="1"/>
  <c r="O109" i="1"/>
  <c r="N109" i="1"/>
  <c r="M109" i="1"/>
  <c r="Q108" i="1"/>
  <c r="P108" i="1"/>
  <c r="O108" i="1"/>
  <c r="N108" i="1"/>
  <c r="M108" i="1"/>
  <c r="Q107" i="1"/>
  <c r="P107" i="1"/>
  <c r="O107" i="1"/>
  <c r="N107" i="1"/>
  <c r="M107" i="1"/>
  <c r="Q106" i="1"/>
  <c r="P106" i="1"/>
  <c r="O106" i="1"/>
  <c r="N106" i="1"/>
  <c r="M106" i="1"/>
  <c r="Q105" i="1"/>
  <c r="P105" i="1"/>
  <c r="O105" i="1"/>
  <c r="N105" i="1"/>
  <c r="M105" i="1"/>
  <c r="Q104" i="1"/>
  <c r="P104" i="1"/>
  <c r="O104" i="1"/>
  <c r="N104" i="1"/>
  <c r="M104" i="1"/>
  <c r="Q103" i="1"/>
  <c r="P103" i="1"/>
  <c r="O103" i="1"/>
  <c r="N103" i="1"/>
  <c r="M103" i="1"/>
  <c r="Q102" i="1"/>
  <c r="P102" i="1"/>
  <c r="O102" i="1"/>
  <c r="N102" i="1"/>
  <c r="M102" i="1"/>
  <c r="Q101" i="1"/>
  <c r="P101" i="1"/>
  <c r="O101" i="1"/>
  <c r="N101" i="1"/>
  <c r="M101" i="1"/>
  <c r="Q100" i="1"/>
  <c r="P100" i="1"/>
  <c r="O100" i="1"/>
  <c r="N100" i="1"/>
  <c r="M100" i="1"/>
  <c r="Q99" i="1"/>
  <c r="P99" i="1"/>
  <c r="O99" i="1"/>
  <c r="N99" i="1"/>
  <c r="M99" i="1"/>
  <c r="Q98" i="1"/>
  <c r="P98" i="1"/>
  <c r="O98" i="1"/>
  <c r="N98" i="1"/>
  <c r="M98" i="1"/>
  <c r="Q97" i="1"/>
  <c r="P97" i="1"/>
  <c r="O97" i="1"/>
  <c r="N97" i="1"/>
  <c r="M97" i="1"/>
  <c r="Q96" i="1"/>
  <c r="P96" i="1"/>
  <c r="O96" i="1"/>
  <c r="N96" i="1"/>
  <c r="M96" i="1"/>
  <c r="Q95" i="1"/>
  <c r="P95" i="1"/>
  <c r="O95" i="1"/>
  <c r="N95" i="1"/>
  <c r="M95" i="1"/>
  <c r="Q94" i="1"/>
  <c r="P94" i="1"/>
  <c r="O94" i="1"/>
  <c r="N94" i="1"/>
  <c r="M94" i="1"/>
  <c r="Q93" i="1"/>
  <c r="P93" i="1"/>
  <c r="O93" i="1"/>
  <c r="N93" i="1"/>
  <c r="M93" i="1"/>
  <c r="Q92" i="1"/>
  <c r="P92" i="1"/>
  <c r="O92" i="1"/>
  <c r="N92" i="1"/>
  <c r="M92" i="1"/>
  <c r="Q91" i="1"/>
  <c r="P91" i="1"/>
  <c r="O91" i="1"/>
  <c r="N91" i="1"/>
  <c r="M91" i="1"/>
  <c r="Q90" i="1"/>
  <c r="P90" i="1"/>
  <c r="O90" i="1"/>
  <c r="N90" i="1"/>
  <c r="M90" i="1"/>
  <c r="Q89" i="1"/>
  <c r="P89" i="1"/>
  <c r="O89" i="1"/>
  <c r="N89" i="1"/>
  <c r="M89" i="1"/>
  <c r="Q88" i="1"/>
  <c r="P88" i="1"/>
  <c r="O88" i="1"/>
  <c r="N88" i="1"/>
  <c r="M88" i="1"/>
  <c r="Q87" i="1"/>
  <c r="P87" i="1"/>
  <c r="O87" i="1"/>
  <c r="N87" i="1"/>
  <c r="M87" i="1"/>
  <c r="Q86" i="1"/>
  <c r="P86" i="1"/>
  <c r="O86" i="1"/>
  <c r="N86" i="1"/>
  <c r="M86" i="1"/>
  <c r="Q85" i="1"/>
  <c r="P85" i="1"/>
  <c r="O85" i="1"/>
  <c r="N85" i="1"/>
  <c r="M85" i="1"/>
  <c r="Q84" i="1"/>
  <c r="P84" i="1"/>
  <c r="O84" i="1"/>
  <c r="N84" i="1"/>
  <c r="M84" i="1"/>
  <c r="Q83" i="1"/>
  <c r="P83" i="1"/>
  <c r="O83" i="1"/>
  <c r="N83" i="1"/>
  <c r="M83" i="1"/>
  <c r="Q82" i="1"/>
  <c r="P82" i="1"/>
  <c r="O82" i="1"/>
  <c r="N82" i="1"/>
  <c r="M82" i="1"/>
  <c r="Q81" i="1"/>
  <c r="P81" i="1"/>
  <c r="O81" i="1"/>
  <c r="N81" i="1"/>
  <c r="M81" i="1"/>
  <c r="Q80" i="1"/>
  <c r="P80" i="1"/>
  <c r="O80" i="1"/>
  <c r="N80" i="1"/>
  <c r="M80" i="1"/>
  <c r="Q79" i="1"/>
  <c r="P79" i="1"/>
  <c r="O79" i="1"/>
  <c r="N79" i="1"/>
  <c r="M79" i="1"/>
  <c r="Q78" i="1"/>
  <c r="P78" i="1"/>
  <c r="O78" i="1"/>
  <c r="N78" i="1"/>
  <c r="M78" i="1"/>
  <c r="Q77" i="1"/>
  <c r="P77" i="1"/>
  <c r="O77" i="1"/>
  <c r="N77" i="1"/>
  <c r="M77" i="1"/>
  <c r="Q76" i="1"/>
  <c r="P76" i="1"/>
  <c r="O76" i="1"/>
  <c r="N76" i="1"/>
  <c r="M76" i="1"/>
  <c r="Q75" i="1"/>
  <c r="P75" i="1"/>
  <c r="O75" i="1"/>
  <c r="N75" i="1"/>
  <c r="M75" i="1"/>
  <c r="Q74" i="1"/>
  <c r="P74" i="1"/>
  <c r="O74" i="1"/>
  <c r="N74" i="1"/>
  <c r="M74" i="1"/>
  <c r="Q73" i="1"/>
  <c r="P73" i="1"/>
  <c r="O73" i="1"/>
  <c r="N73" i="1"/>
  <c r="M73" i="1"/>
  <c r="Q72" i="1"/>
  <c r="P72" i="1"/>
  <c r="O72" i="1"/>
  <c r="N72" i="1"/>
  <c r="M72" i="1"/>
  <c r="Q71" i="1"/>
  <c r="P71" i="1"/>
  <c r="O71" i="1"/>
  <c r="N71" i="1"/>
  <c r="M71" i="1"/>
  <c r="Q70" i="1"/>
  <c r="P70" i="1"/>
  <c r="O70" i="1"/>
  <c r="N70" i="1"/>
  <c r="M70" i="1"/>
  <c r="Q69" i="1"/>
  <c r="P69" i="1"/>
  <c r="O69" i="1"/>
  <c r="N69" i="1"/>
  <c r="M69" i="1"/>
  <c r="Q68" i="1"/>
  <c r="P68" i="1"/>
  <c r="O68" i="1"/>
  <c r="N68" i="1"/>
  <c r="M68" i="1"/>
  <c r="Q67" i="1"/>
  <c r="P67" i="1"/>
  <c r="O67" i="1"/>
  <c r="N67" i="1"/>
  <c r="M67" i="1"/>
  <c r="Q66" i="1"/>
  <c r="P66" i="1"/>
  <c r="O66" i="1"/>
  <c r="N66" i="1"/>
  <c r="M66" i="1"/>
  <c r="Q65" i="1"/>
  <c r="P65" i="1"/>
  <c r="O65" i="1"/>
  <c r="N65" i="1"/>
  <c r="M65" i="1"/>
  <c r="Q64" i="1"/>
  <c r="P64" i="1"/>
  <c r="O64" i="1"/>
  <c r="N64" i="1"/>
  <c r="M64" i="1"/>
  <c r="Q63" i="1"/>
  <c r="P63" i="1"/>
  <c r="O63" i="1"/>
  <c r="N63" i="1"/>
  <c r="M63" i="1"/>
  <c r="Q62" i="1"/>
  <c r="P62" i="1"/>
  <c r="O62" i="1"/>
  <c r="N62" i="1"/>
  <c r="M62" i="1"/>
  <c r="Q61" i="1"/>
  <c r="P61" i="1"/>
  <c r="O61" i="1"/>
  <c r="N61" i="1"/>
  <c r="M61" i="1"/>
  <c r="Q60" i="1"/>
  <c r="P60" i="1"/>
  <c r="O60" i="1"/>
  <c r="N60" i="1"/>
  <c r="M60" i="1"/>
  <c r="Q59" i="1"/>
  <c r="P59" i="1"/>
  <c r="O59" i="1"/>
  <c r="N59" i="1"/>
  <c r="M59" i="1"/>
  <c r="Q58" i="1"/>
  <c r="P58" i="1"/>
  <c r="O58" i="1"/>
  <c r="N58" i="1"/>
  <c r="M58" i="1"/>
  <c r="Q57" i="1"/>
  <c r="P57" i="1"/>
  <c r="O57" i="1"/>
  <c r="N57" i="1"/>
  <c r="M57" i="1"/>
  <c r="Q56" i="1"/>
  <c r="P56" i="1"/>
  <c r="O56" i="1"/>
  <c r="N56" i="1"/>
  <c r="M56" i="1"/>
  <c r="Q55" i="1"/>
  <c r="P55" i="1"/>
  <c r="O55" i="1"/>
  <c r="N55" i="1"/>
  <c r="M55" i="1"/>
  <c r="K54" i="1"/>
  <c r="Q54" i="1" s="1"/>
  <c r="J54" i="1"/>
  <c r="P54" i="1" s="1"/>
  <c r="I54" i="1"/>
  <c r="O54" i="1" s="1"/>
  <c r="H54" i="1"/>
  <c r="N54" i="1" s="1"/>
  <c r="G54" i="1"/>
  <c r="M54" i="1" s="1"/>
  <c r="Q53" i="1"/>
  <c r="P53" i="1"/>
  <c r="O53" i="1"/>
  <c r="N53" i="1"/>
  <c r="M53" i="1"/>
  <c r="C53" i="1"/>
  <c r="A53" i="1"/>
  <c r="Q52" i="1"/>
  <c r="P52" i="1"/>
  <c r="O52" i="1"/>
  <c r="N52" i="1"/>
  <c r="M52" i="1"/>
  <c r="C52" i="1"/>
  <c r="A52" i="1"/>
  <c r="Q51" i="1"/>
  <c r="P51" i="1"/>
  <c r="O51" i="1"/>
  <c r="N51" i="1"/>
  <c r="M51" i="1"/>
  <c r="C51" i="1"/>
  <c r="A51" i="1"/>
  <c r="Q50" i="1"/>
  <c r="P50" i="1"/>
  <c r="O50" i="1"/>
  <c r="N50" i="1"/>
  <c r="M50" i="1"/>
  <c r="C50" i="1"/>
  <c r="A50" i="1"/>
  <c r="Q49" i="1"/>
  <c r="P49" i="1"/>
  <c r="O49" i="1"/>
  <c r="N49" i="1"/>
  <c r="M49" i="1"/>
  <c r="C49" i="1"/>
  <c r="A49" i="1"/>
  <c r="Q48" i="1"/>
  <c r="P48" i="1"/>
  <c r="O48" i="1"/>
  <c r="N48" i="1"/>
  <c r="M48" i="1"/>
  <c r="C48" i="1"/>
  <c r="A48" i="1"/>
  <c r="Q47" i="1"/>
  <c r="P47" i="1"/>
  <c r="O47" i="1"/>
  <c r="N47" i="1"/>
  <c r="M47" i="1"/>
  <c r="C47" i="1"/>
  <c r="A47" i="1"/>
  <c r="Q46" i="1"/>
  <c r="P46" i="1"/>
  <c r="O46" i="1"/>
  <c r="N46" i="1"/>
  <c r="M46" i="1"/>
  <c r="C46" i="1"/>
  <c r="A46" i="1"/>
  <c r="Q45" i="1"/>
  <c r="P45" i="1"/>
  <c r="O45" i="1"/>
  <c r="N45" i="1"/>
  <c r="M45" i="1"/>
  <c r="C45" i="1"/>
  <c r="A45" i="1"/>
  <c r="Q44" i="1"/>
  <c r="P44" i="1"/>
  <c r="O44" i="1"/>
  <c r="N44" i="1"/>
  <c r="M44" i="1"/>
  <c r="C44" i="1"/>
  <c r="A44" i="1"/>
  <c r="Q43" i="1"/>
  <c r="P43" i="1"/>
  <c r="O43" i="1"/>
  <c r="N43" i="1"/>
  <c r="M43" i="1"/>
  <c r="C43" i="1"/>
  <c r="A43" i="1"/>
  <c r="Q42" i="1"/>
  <c r="P42" i="1"/>
  <c r="O42" i="1"/>
  <c r="N42" i="1"/>
  <c r="M42" i="1"/>
  <c r="C42" i="1"/>
  <c r="A42" i="1"/>
  <c r="Q41" i="1"/>
  <c r="P41" i="1"/>
  <c r="O41" i="1"/>
  <c r="N41" i="1"/>
  <c r="M41" i="1"/>
  <c r="C41" i="1"/>
  <c r="A41" i="1"/>
  <c r="Q40" i="1"/>
  <c r="P40" i="1"/>
  <c r="O40" i="1"/>
  <c r="N40" i="1"/>
  <c r="M40" i="1"/>
  <c r="C40" i="1"/>
  <c r="A40" i="1"/>
  <c r="Q39" i="1"/>
  <c r="P39" i="1"/>
  <c r="O39" i="1"/>
  <c r="N39" i="1"/>
  <c r="M39" i="1"/>
  <c r="C39" i="1"/>
  <c r="A39" i="1"/>
  <c r="Q38" i="1"/>
  <c r="P38" i="1"/>
  <c r="O38" i="1"/>
  <c r="N38" i="1"/>
  <c r="M38" i="1"/>
  <c r="C38" i="1"/>
  <c r="A38" i="1"/>
  <c r="Q37" i="1"/>
  <c r="P37" i="1"/>
  <c r="O37" i="1"/>
  <c r="N37" i="1"/>
  <c r="M37" i="1"/>
  <c r="C37" i="1"/>
  <c r="A37" i="1"/>
  <c r="Q36" i="1"/>
  <c r="P36" i="1"/>
  <c r="O36" i="1"/>
  <c r="N36" i="1"/>
  <c r="M36" i="1"/>
  <c r="C36" i="1"/>
  <c r="A36" i="1"/>
  <c r="Q35" i="1"/>
  <c r="P35" i="1"/>
  <c r="O35" i="1"/>
  <c r="N35" i="1"/>
  <c r="M35" i="1"/>
  <c r="C35" i="1"/>
  <c r="A35" i="1"/>
  <c r="Q34" i="1"/>
  <c r="P34" i="1"/>
  <c r="O34" i="1"/>
  <c r="N34" i="1"/>
  <c r="M34" i="1"/>
  <c r="C34" i="1"/>
  <c r="A34" i="1"/>
  <c r="Q33" i="1"/>
  <c r="P33" i="1"/>
  <c r="O33" i="1"/>
  <c r="N33" i="1"/>
  <c r="M33" i="1"/>
  <c r="C33" i="1"/>
  <c r="A33" i="1"/>
  <c r="Q32" i="1"/>
  <c r="P32" i="1"/>
  <c r="O32" i="1"/>
  <c r="N32" i="1"/>
  <c r="M32" i="1"/>
  <c r="C32" i="1"/>
  <c r="A32" i="1"/>
  <c r="Q31" i="1"/>
  <c r="P31" i="1"/>
  <c r="O31" i="1"/>
  <c r="N31" i="1"/>
  <c r="M31" i="1"/>
  <c r="C31" i="1"/>
  <c r="A31" i="1"/>
  <c r="Q30" i="1"/>
  <c r="P30" i="1"/>
  <c r="O30" i="1"/>
  <c r="N30" i="1"/>
  <c r="M30" i="1"/>
  <c r="C30" i="1"/>
  <c r="A30" i="1"/>
  <c r="Q29" i="1"/>
  <c r="P29" i="1"/>
  <c r="O29" i="1"/>
  <c r="N29" i="1"/>
  <c r="M29" i="1"/>
  <c r="C29" i="1"/>
  <c r="A29" i="1"/>
  <c r="Q28" i="1"/>
  <c r="P28" i="1"/>
  <c r="O28" i="1"/>
  <c r="N28" i="1"/>
  <c r="M28" i="1"/>
  <c r="C28" i="1"/>
  <c r="A28" i="1"/>
  <c r="Q27" i="1"/>
  <c r="P27" i="1"/>
  <c r="O27" i="1"/>
  <c r="N27" i="1"/>
  <c r="M27" i="1"/>
  <c r="C27" i="1"/>
  <c r="A27" i="1"/>
  <c r="Q26" i="1"/>
  <c r="P26" i="1"/>
  <c r="O26" i="1"/>
  <c r="N26" i="1"/>
  <c r="M26" i="1"/>
  <c r="C26" i="1"/>
  <c r="A26" i="1"/>
  <c r="Q25" i="1"/>
  <c r="P25" i="1"/>
  <c r="O25" i="1"/>
  <c r="N25" i="1"/>
  <c r="M25" i="1"/>
  <c r="C25" i="1"/>
  <c r="A25" i="1"/>
  <c r="Q24" i="1"/>
  <c r="P24" i="1"/>
  <c r="O24" i="1"/>
  <c r="N24" i="1"/>
  <c r="M24" i="1"/>
  <c r="C24" i="1"/>
  <c r="A24" i="1"/>
  <c r="Q23" i="1"/>
  <c r="P23" i="1"/>
  <c r="O23" i="1"/>
  <c r="N23" i="1"/>
  <c r="M23" i="1"/>
  <c r="C23" i="1"/>
  <c r="A23" i="1"/>
  <c r="Q22" i="1"/>
  <c r="P22" i="1"/>
  <c r="O22" i="1"/>
  <c r="N22" i="1"/>
  <c r="M22" i="1"/>
  <c r="C22" i="1"/>
  <c r="A22" i="1"/>
  <c r="Q21" i="1"/>
  <c r="P21" i="1"/>
  <c r="O21" i="1"/>
  <c r="N21" i="1"/>
  <c r="M21" i="1"/>
  <c r="C21" i="1"/>
  <c r="A21" i="1"/>
  <c r="Q20" i="1"/>
  <c r="P20" i="1"/>
  <c r="O20" i="1"/>
  <c r="N20" i="1"/>
  <c r="M20" i="1"/>
  <c r="C20" i="1"/>
  <c r="A20" i="1"/>
  <c r="Q19" i="1"/>
  <c r="P19" i="1"/>
  <c r="O19" i="1"/>
  <c r="N19" i="1"/>
  <c r="M19" i="1"/>
  <c r="C19" i="1"/>
  <c r="A19" i="1"/>
  <c r="Q18" i="1"/>
  <c r="P18" i="1"/>
  <c r="O18" i="1"/>
  <c r="N18" i="1"/>
  <c r="M18" i="1"/>
  <c r="C18" i="1"/>
  <c r="A18" i="1"/>
  <c r="Q17" i="1"/>
  <c r="P17" i="1"/>
  <c r="O17" i="1"/>
  <c r="N17" i="1"/>
  <c r="M17" i="1"/>
  <c r="C17" i="1"/>
  <c r="A17" i="1"/>
  <c r="Q16" i="1"/>
  <c r="P16" i="1"/>
  <c r="O16" i="1"/>
  <c r="N16" i="1"/>
  <c r="M16" i="1"/>
  <c r="C16" i="1"/>
  <c r="A16" i="1"/>
  <c r="Q15" i="1"/>
  <c r="P15" i="1"/>
  <c r="O15" i="1"/>
  <c r="N15" i="1"/>
  <c r="M15" i="1"/>
  <c r="C15" i="1"/>
  <c r="A15" i="1"/>
  <c r="Q14" i="1"/>
  <c r="P14" i="1"/>
  <c r="O14" i="1"/>
  <c r="N14" i="1"/>
  <c r="M14" i="1"/>
  <c r="C14" i="1"/>
  <c r="A14" i="1"/>
  <c r="Q13" i="1"/>
  <c r="P13" i="1"/>
  <c r="O13" i="1"/>
  <c r="N13" i="1"/>
  <c r="M13" i="1"/>
  <c r="C13" i="1"/>
  <c r="A13" i="1"/>
  <c r="Q12" i="1"/>
  <c r="P12" i="1"/>
  <c r="O12" i="1"/>
  <c r="N12" i="1"/>
  <c r="M12" i="1"/>
  <c r="C12" i="1"/>
  <c r="A12" i="1"/>
  <c r="Q11" i="1"/>
  <c r="P11" i="1"/>
  <c r="O11" i="1"/>
  <c r="N11" i="1"/>
  <c r="M11" i="1"/>
  <c r="C11" i="1"/>
  <c r="A11" i="1"/>
  <c r="Q10" i="1"/>
  <c r="P10" i="1"/>
  <c r="O10" i="1"/>
  <c r="N10" i="1"/>
  <c r="M10" i="1"/>
  <c r="C10" i="1"/>
  <c r="A10" i="1"/>
  <c r="Q9" i="1"/>
  <c r="P9" i="1"/>
  <c r="O9" i="1"/>
  <c r="N9" i="1"/>
  <c r="M9" i="1"/>
  <c r="C9" i="1"/>
  <c r="A9" i="1"/>
  <c r="Q8" i="1"/>
  <c r="P8" i="1"/>
  <c r="O8" i="1"/>
  <c r="N8" i="1"/>
  <c r="M8" i="1"/>
  <c r="Q7" i="1"/>
  <c r="P7" i="1"/>
  <c r="O7" i="1"/>
  <c r="N7" i="1"/>
  <c r="M7" i="1"/>
  <c r="Q6" i="1"/>
  <c r="P6" i="1"/>
  <c r="O6" i="1"/>
  <c r="N6" i="1"/>
  <c r="M6" i="1"/>
  <c r="Q5" i="1"/>
  <c r="P5" i="1"/>
  <c r="O5" i="1"/>
  <c r="N5" i="1"/>
  <c r="M5" i="1"/>
  <c r="Q4" i="1"/>
  <c r="P4" i="1"/>
  <c r="O4" i="1"/>
  <c r="N4" i="1"/>
  <c r="M4" i="1"/>
  <c r="C4" i="1"/>
  <c r="A4" i="1"/>
  <c r="B2" i="1"/>
  <c r="A17" i="2" l="1"/>
  <c r="A18" i="2"/>
  <c r="A19" i="2"/>
  <c r="A20" i="2"/>
  <c r="A21" i="2"/>
  <c r="A22" i="2"/>
  <c r="A23" i="2"/>
  <c r="A4" i="2"/>
  <c r="A24" i="2"/>
  <c r="A5" i="2"/>
  <c r="A25" i="2"/>
  <c r="A6" i="2"/>
  <c r="A26" i="2"/>
  <c r="A7" i="2"/>
  <c r="A27" i="2"/>
  <c r="A8" i="2"/>
  <c r="A28" i="2"/>
  <c r="A9" i="2"/>
  <c r="A29" i="2"/>
  <c r="A10" i="2"/>
  <c r="A30" i="2"/>
  <c r="A11" i="2"/>
  <c r="A31" i="2"/>
  <c r="A12" i="2"/>
  <c r="A32" i="2"/>
  <c r="A13" i="2"/>
  <c r="A33" i="2"/>
  <c r="A14" i="2"/>
  <c r="A34" i="2"/>
  <c r="A15" i="2"/>
  <c r="A35" i="2"/>
  <c r="A1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MUHAMMAD KHAN</author>
  </authors>
  <commentList>
    <comment ref="B36" authorId="0" shapeId="0" xr:uid="{D368E1C7-88DA-409E-BF5D-4F97CBE09270}">
      <text>
        <r>
          <rPr>
            <b/>
            <sz val="12"/>
            <color indexed="81"/>
            <rFont val="Tahoma"/>
            <family val="2"/>
          </rPr>
          <t>Enter name in the cell below to extend the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MUHAMMAD KHAN</author>
  </authors>
  <commentList>
    <comment ref="B4" authorId="0" shapeId="0" xr:uid="{3968460D-5C67-4BDA-9AAF-8953CA017467}">
      <text>
        <r>
          <rPr>
            <sz val="16"/>
            <color indexed="81"/>
            <rFont val="Tahoma"/>
            <family val="2"/>
          </rPr>
          <t>Please just enter Date, Day and Week Number will be automatically formulated</t>
        </r>
        <r>
          <rPr>
            <b/>
            <sz val="9"/>
            <color indexed="81"/>
            <rFont val="Tahoma"/>
            <family val="2"/>
          </rPr>
          <t xml:space="preserve">
 </t>
        </r>
      </text>
    </comment>
    <comment ref="G4" authorId="0" shapeId="0" xr:uid="{AA25910B-B0CB-4E57-AD57-3D22474C0D7D}">
      <text>
        <r>
          <rPr>
            <sz val="18"/>
            <color indexed="81"/>
            <rFont val="Tahoma"/>
            <family val="2"/>
          </rPr>
          <t xml:space="preserve">Please double click to toggle checkmark
</t>
        </r>
      </text>
    </comment>
  </commentList>
</comments>
</file>

<file path=xl/sharedStrings.xml><?xml version="1.0" encoding="utf-8"?>
<sst xmlns="http://schemas.openxmlformats.org/spreadsheetml/2006/main" count="287" uniqueCount="115">
  <si>
    <t>DATE</t>
  </si>
  <si>
    <t>Painting caterpillar by the garden</t>
  </si>
  <si>
    <t>Activity No.</t>
  </si>
  <si>
    <t>Children's name</t>
  </si>
  <si>
    <t>Activity Type</t>
  </si>
  <si>
    <t>Fine motor Skills</t>
  </si>
  <si>
    <t>Social</t>
  </si>
  <si>
    <t>Art &amp; Craft</t>
  </si>
  <si>
    <t>Storytelling / Reading</t>
  </si>
  <si>
    <t>Music &amp; Singing</t>
  </si>
  <si>
    <t>Sensory Play</t>
  </si>
  <si>
    <t>Numeracy Activities</t>
  </si>
  <si>
    <t>Literacy Activities</t>
  </si>
  <si>
    <t>Dramatic / Role Play</t>
  </si>
  <si>
    <t>Puzzles &amp; Games</t>
  </si>
  <si>
    <t>Science &amp; Exploration</t>
  </si>
  <si>
    <t>Group Discussions / Circle Time</t>
  </si>
  <si>
    <t>Physical Education / Movement</t>
  </si>
  <si>
    <t>Cooking / Food Prep</t>
  </si>
  <si>
    <t>Cultural Activities</t>
  </si>
  <si>
    <t>Excursions / Incursions</t>
  </si>
  <si>
    <t>1. Identity</t>
  </si>
  <si>
    <t>2. Community</t>
  </si>
  <si>
    <t>4. Learners</t>
  </si>
  <si>
    <t>5. Communicators</t>
  </si>
  <si>
    <t>✓</t>
  </si>
  <si>
    <t>S.No</t>
  </si>
  <si>
    <t>DAY</t>
  </si>
  <si>
    <t>Activity Name</t>
  </si>
  <si>
    <t>Age Group</t>
  </si>
  <si>
    <t>Domain Area</t>
  </si>
  <si>
    <t>Physical</t>
  </si>
  <si>
    <t>Emotional</t>
  </si>
  <si>
    <t>Cognitive</t>
  </si>
  <si>
    <t>Language</t>
  </si>
  <si>
    <t>4-8 months</t>
  </si>
  <si>
    <t>8-12 months</t>
  </si>
  <si>
    <t>1-2 years</t>
  </si>
  <si>
    <t>2-3 years</t>
  </si>
  <si>
    <t>Date Observed</t>
  </si>
  <si>
    <t>Strategy Implemented</t>
  </si>
  <si>
    <t>Concerning Observation</t>
  </si>
  <si>
    <t xml:space="preserve">Room: </t>
  </si>
  <si>
    <t>Week No.</t>
  </si>
  <si>
    <t>Notes</t>
  </si>
  <si>
    <t>Updates</t>
  </si>
  <si>
    <t>EYLF Developmental Milestone(link)</t>
  </si>
  <si>
    <t>Inability to lift head during tammy time. Xxxxxxxxxxxxxxxxxxxxxxxxxxxxxxxxxxx</t>
  </si>
  <si>
    <t>3. Wellbeing</t>
  </si>
  <si>
    <t xml:space="preserve">YEAR </t>
  </si>
  <si>
    <t>YEAR 2025</t>
  </si>
  <si>
    <t>Student</t>
  </si>
  <si>
    <t>EYLF Outcome[Link]</t>
  </si>
  <si>
    <t>Total</t>
  </si>
  <si>
    <t>OBSERVATION</t>
  </si>
  <si>
    <t>JAN</t>
  </si>
  <si>
    <t>FEB</t>
  </si>
  <si>
    <t>MAR</t>
  </si>
  <si>
    <t>APR</t>
  </si>
  <si>
    <t>MAY</t>
  </si>
  <si>
    <t>JUN</t>
  </si>
  <si>
    <t>JUL</t>
  </si>
  <si>
    <t>AUG</t>
  </si>
  <si>
    <t>SEP</t>
  </si>
  <si>
    <t>OCT</t>
  </si>
  <si>
    <t>NOV</t>
  </si>
  <si>
    <t>DEC</t>
  </si>
  <si>
    <t xml:space="preserve">ROOM: </t>
  </si>
  <si>
    <t>Outdoor Play</t>
  </si>
  <si>
    <t>Free Play / Choice Time</t>
  </si>
  <si>
    <t>Birth - 4 months</t>
  </si>
  <si>
    <t>3-5 years</t>
  </si>
  <si>
    <t>Children's Name</t>
  </si>
  <si>
    <t>Student1</t>
  </si>
  <si>
    <t>Student2</t>
  </si>
  <si>
    <t>Student3</t>
  </si>
  <si>
    <t>Student4</t>
  </si>
  <si>
    <t>Student5</t>
  </si>
  <si>
    <t>Student6</t>
  </si>
  <si>
    <t>Student7</t>
  </si>
  <si>
    <t>Student8</t>
  </si>
  <si>
    <t>Grand Total</t>
  </si>
  <si>
    <t>Student9</t>
  </si>
  <si>
    <t>Student10</t>
  </si>
  <si>
    <t>Student11</t>
  </si>
  <si>
    <t>Student12</t>
  </si>
  <si>
    <t>Student13</t>
  </si>
  <si>
    <t>Student14</t>
  </si>
  <si>
    <t>Student15</t>
  </si>
  <si>
    <t>Student16</t>
  </si>
  <si>
    <t>Student17</t>
  </si>
  <si>
    <t>Student18</t>
  </si>
  <si>
    <t>Student19</t>
  </si>
  <si>
    <t>Student20</t>
  </si>
  <si>
    <t>Student21</t>
  </si>
  <si>
    <t>Student22</t>
  </si>
  <si>
    <t>Socio/Emotional</t>
  </si>
  <si>
    <t>Column Labels</t>
  </si>
  <si>
    <t>Student23</t>
  </si>
  <si>
    <t>Student24</t>
  </si>
  <si>
    <t>Student25</t>
  </si>
  <si>
    <t>Student26</t>
  </si>
  <si>
    <t>Student27</t>
  </si>
  <si>
    <t>Student28</t>
  </si>
  <si>
    <t>Student29</t>
  </si>
  <si>
    <t>Student30</t>
  </si>
  <si>
    <t>Student31</t>
  </si>
  <si>
    <t>Student32</t>
  </si>
  <si>
    <t>Student33</t>
  </si>
  <si>
    <t>Dev Domain</t>
  </si>
  <si>
    <t>Total Cases</t>
  </si>
  <si>
    <t>Total cases by Age</t>
  </si>
  <si>
    <t>Use sound sensory play to drive attention, wlecoming lifting head</t>
  </si>
  <si>
    <t>Practiced 2 times a week</t>
  </si>
  <si>
    <t>improvement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</si>
</sst>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C09]d\ mmmm\ yyyy;@"/>
    <numFmt numFmtId="165" formatCode="[$-F800]dddd\,\ mmmm\ dd\,\ yyyy"/>
  </numFmts>
  <fonts count="38" x14ac:knownFonts="1">
    <font>
      <sz val="11"/>
      <color theme="1"/>
      <name val="Aptos Narrow"/>
      <family val="2"/>
      <scheme val="minor"/>
    </font>
    <font>
      <sz val="11"/>
      <color theme="1"/>
      <name val="Aptos Narrow"/>
      <family val="2"/>
      <scheme val="minor"/>
    </font>
    <font>
      <b/>
      <sz val="11"/>
      <color theme="1"/>
      <name val="Aptos Narrow"/>
      <family val="2"/>
      <scheme val="minor"/>
    </font>
    <font>
      <b/>
      <sz val="14"/>
      <color theme="1"/>
      <name val="Aptos Narrow"/>
      <family val="2"/>
      <scheme val="minor"/>
    </font>
    <font>
      <b/>
      <sz val="16"/>
      <color theme="1"/>
      <name val="Aptos Narrow"/>
      <family val="2"/>
      <scheme val="minor"/>
    </font>
    <font>
      <sz val="14"/>
      <color theme="1"/>
      <name val="Aptos Narrow"/>
      <family val="2"/>
      <scheme val="minor"/>
    </font>
    <font>
      <sz val="8"/>
      <name val="Aptos Narrow"/>
      <family val="2"/>
      <scheme val="minor"/>
    </font>
    <font>
      <sz val="14"/>
      <color theme="1"/>
      <name val="Calibri"/>
      <family val="2"/>
    </font>
    <font>
      <b/>
      <sz val="14"/>
      <color theme="1"/>
      <name val="Calibri"/>
      <family val="2"/>
    </font>
    <font>
      <b/>
      <sz val="9"/>
      <color indexed="81"/>
      <name val="Tahoma"/>
      <family val="2"/>
    </font>
    <font>
      <sz val="18"/>
      <color theme="1"/>
      <name val="Aptos Narrow"/>
      <family val="2"/>
      <scheme val="minor"/>
    </font>
    <font>
      <b/>
      <sz val="14"/>
      <color theme="1"/>
      <name val="Comic Sans MS"/>
      <family val="4"/>
    </font>
    <font>
      <u/>
      <sz val="11"/>
      <color theme="10"/>
      <name val="Aptos Narrow"/>
      <family val="2"/>
      <scheme val="minor"/>
    </font>
    <font>
      <u/>
      <sz val="18"/>
      <color theme="10"/>
      <name val="Aptos Narrow"/>
      <family val="2"/>
      <scheme val="minor"/>
    </font>
    <font>
      <sz val="16"/>
      <color indexed="81"/>
      <name val="Tahoma"/>
      <family val="2"/>
    </font>
    <font>
      <sz val="18"/>
      <color indexed="81"/>
      <name val="Tahoma"/>
      <family val="2"/>
    </font>
    <font>
      <sz val="20"/>
      <color theme="1"/>
      <name val="Aptos Narrow"/>
      <family val="2"/>
      <scheme val="minor"/>
    </font>
    <font>
      <sz val="22"/>
      <color theme="1"/>
      <name val="Aptos Narrow"/>
      <family val="2"/>
      <scheme val="minor"/>
    </font>
    <font>
      <b/>
      <sz val="18"/>
      <color theme="1"/>
      <name val="Aptos Narrow"/>
      <family val="2"/>
      <scheme val="minor"/>
    </font>
    <font>
      <u/>
      <sz val="22"/>
      <color theme="10"/>
      <name val="Aptos Narrow"/>
      <family val="2"/>
      <scheme val="minor"/>
    </font>
    <font>
      <sz val="16"/>
      <color theme="1"/>
      <name val="Comic Sans MS"/>
      <family val="4"/>
    </font>
    <font>
      <b/>
      <sz val="18"/>
      <color theme="4"/>
      <name val="Comic Sans MS"/>
      <family val="4"/>
    </font>
    <font>
      <sz val="14"/>
      <color rgb="FF000000"/>
      <name val="Calibri"/>
      <family val="2"/>
    </font>
    <font>
      <sz val="14"/>
      <name val="Aptos Narrow"/>
      <family val="2"/>
      <scheme val="minor"/>
    </font>
    <font>
      <sz val="14"/>
      <name val="Calibri"/>
      <family val="2"/>
    </font>
    <font>
      <b/>
      <sz val="12"/>
      <name val="Aptos Narrow"/>
      <family val="2"/>
      <scheme val="minor"/>
    </font>
    <font>
      <sz val="12"/>
      <name val="Comic Sans MS"/>
      <family val="4"/>
    </font>
    <font>
      <b/>
      <sz val="12"/>
      <color theme="2" tint="-0.499984740745262"/>
      <name val="Calibri"/>
      <family val="2"/>
    </font>
    <font>
      <b/>
      <sz val="12"/>
      <color theme="2" tint="-0.499984740745262"/>
      <name val="Aptos Narrow"/>
      <family val="2"/>
      <scheme val="minor"/>
    </font>
    <font>
      <sz val="12"/>
      <color theme="1"/>
      <name val="Aptos Narrow"/>
      <family val="2"/>
      <scheme val="minor"/>
    </font>
    <font>
      <b/>
      <sz val="12"/>
      <color theme="1"/>
      <name val="Calibri"/>
      <family val="2"/>
    </font>
    <font>
      <b/>
      <sz val="12"/>
      <color theme="1"/>
      <name val="Aptos Narrow"/>
      <family val="2"/>
      <scheme val="minor"/>
    </font>
    <font>
      <sz val="12"/>
      <color theme="1"/>
      <name val="Comic Sans MS"/>
      <family val="4"/>
    </font>
    <font>
      <sz val="11"/>
      <color theme="1"/>
      <name val="Courier New"/>
      <family val="3"/>
    </font>
    <font>
      <sz val="14"/>
      <color theme="1"/>
      <name val="Courier New"/>
      <family val="3"/>
    </font>
    <font>
      <sz val="12"/>
      <color theme="1"/>
      <name val="Courier New"/>
      <family val="3"/>
    </font>
    <font>
      <b/>
      <sz val="12"/>
      <color indexed="81"/>
      <name val="Tahoma"/>
      <family val="2"/>
    </font>
    <font>
      <b/>
      <sz val="14"/>
      <name val="Aptos ExtraBold"/>
      <family val="2"/>
    </font>
  </fonts>
  <fills count="15">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3" tint="0.749992370372631"/>
        <bgColor indexed="64"/>
      </patternFill>
    </fill>
    <fill>
      <patternFill patternType="solid">
        <fgColor rgb="FFFFCCCC"/>
        <bgColor indexed="64"/>
      </patternFill>
    </fill>
  </fills>
  <borders count="13">
    <border>
      <left/>
      <right/>
      <top/>
      <bottom/>
      <diagonal/>
    </border>
    <border>
      <left/>
      <right style="medium">
        <color auto="1"/>
      </right>
      <top/>
      <bottom/>
      <diagonal/>
    </border>
    <border>
      <left style="medium">
        <color auto="1"/>
      </left>
      <right style="medium">
        <color auto="1"/>
      </right>
      <top/>
      <bottom/>
      <diagonal/>
    </border>
    <border>
      <left style="medium">
        <color auto="1"/>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auto="1"/>
      </right>
      <top style="medium">
        <color indexed="64"/>
      </top>
      <bottom/>
      <diagonal/>
    </border>
    <border>
      <left style="medium">
        <color indexed="64"/>
      </left>
      <right style="medium">
        <color auto="1"/>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theme="3"/>
      </left>
      <right style="medium">
        <color theme="3"/>
      </right>
      <top style="medium">
        <color theme="3"/>
      </top>
      <bottom style="medium">
        <color theme="3"/>
      </bottom>
      <diagonal/>
    </border>
    <border>
      <left style="thick">
        <color auto="1"/>
      </left>
      <right style="thick">
        <color auto="1"/>
      </right>
      <top/>
      <bottom/>
      <diagonal/>
    </border>
  </borders>
  <cellStyleXfs count="7">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2" fillId="0" borderId="0" applyNumberFormat="0" applyFill="0" applyBorder="0" applyAlignment="0" applyProtection="0"/>
  </cellStyleXfs>
  <cellXfs count="113">
    <xf numFmtId="0" fontId="0" fillId="0" borderId="0" xfId="0"/>
    <xf numFmtId="0" fontId="5" fillId="0" borderId="2" xfId="0" applyFont="1" applyFill="1" applyBorder="1" applyAlignment="1">
      <alignment horizontal="left" wrapText="1"/>
    </xf>
    <xf numFmtId="0" fontId="7" fillId="0" borderId="2" xfId="0" applyFont="1" applyFill="1" applyBorder="1" applyAlignment="1">
      <alignment horizontal="left" wrapText="1"/>
    </xf>
    <xf numFmtId="0" fontId="5" fillId="0" borderId="3" xfId="0" applyFont="1" applyFill="1" applyBorder="1" applyAlignment="1">
      <alignment horizontal="left" wrapText="1"/>
    </xf>
    <xf numFmtId="0" fontId="3" fillId="7" borderId="6" xfId="0" applyFont="1" applyFill="1" applyBorder="1" applyAlignment="1">
      <alignment horizontal="center" wrapText="1"/>
    </xf>
    <xf numFmtId="0" fontId="3" fillId="7" borderId="4" xfId="0" applyFont="1" applyFill="1" applyBorder="1" applyAlignment="1">
      <alignment wrapText="1"/>
    </xf>
    <xf numFmtId="0" fontId="2" fillId="0" borderId="0" xfId="0" applyFont="1"/>
    <xf numFmtId="0" fontId="5" fillId="0" borderId="1" xfId="0" applyFont="1" applyFill="1" applyBorder="1" applyAlignment="1">
      <alignment horizontal="left" wrapText="1"/>
    </xf>
    <xf numFmtId="0" fontId="22" fillId="0" borderId="2" xfId="0" applyFont="1" applyFill="1" applyBorder="1" applyAlignment="1">
      <alignment horizontal="left" wrapText="1"/>
    </xf>
    <xf numFmtId="0" fontId="24" fillId="0" borderId="2" xfId="0" applyFont="1" applyFill="1" applyBorder="1" applyAlignment="1">
      <alignment horizontal="left"/>
    </xf>
    <xf numFmtId="0" fontId="23" fillId="0" borderId="2" xfId="0" applyFont="1" applyFill="1" applyBorder="1" applyAlignment="1">
      <alignment horizontal="left"/>
    </xf>
    <xf numFmtId="0" fontId="23" fillId="0" borderId="2" xfId="0" applyFont="1" applyFill="1" applyBorder="1" applyAlignment="1">
      <alignment horizontal="left" wrapText="1"/>
    </xf>
    <xf numFmtId="165" fontId="23" fillId="0" borderId="2" xfId="0" applyNumberFormat="1" applyFont="1" applyFill="1" applyBorder="1" applyAlignment="1">
      <alignment horizontal="left"/>
    </xf>
    <xf numFmtId="0" fontId="24" fillId="0" borderId="2" xfId="0" applyFont="1" applyFill="1" applyBorder="1" applyAlignment="1">
      <alignment horizontal="left" wrapText="1"/>
    </xf>
    <xf numFmtId="165" fontId="24" fillId="0" borderId="2" xfId="0" applyNumberFormat="1" applyFont="1" applyFill="1" applyBorder="1" applyAlignment="1">
      <alignment horizontal="left"/>
    </xf>
    <xf numFmtId="0" fontId="23" fillId="0" borderId="1" xfId="0" applyFont="1" applyFill="1" applyBorder="1" applyAlignment="1">
      <alignment horizontal="left"/>
    </xf>
    <xf numFmtId="0" fontId="23" fillId="0" borderId="1" xfId="0" applyFont="1" applyFill="1" applyBorder="1" applyAlignment="1">
      <alignment horizontal="left" wrapText="1"/>
    </xf>
    <xf numFmtId="0" fontId="0" fillId="8" borderId="0" xfId="0" applyFill="1" applyAlignment="1">
      <alignment horizontal="center"/>
    </xf>
    <xf numFmtId="14" fontId="0" fillId="8" borderId="0" xfId="0" applyNumberFormat="1" applyFill="1" applyAlignment="1">
      <alignment horizontal="right"/>
    </xf>
    <xf numFmtId="0" fontId="0" fillId="8" borderId="0" xfId="0" applyNumberFormat="1" applyFill="1" applyAlignment="1">
      <alignment horizontal="center"/>
    </xf>
    <xf numFmtId="0" fontId="0" fillId="8" borderId="0" xfId="0" applyFill="1"/>
    <xf numFmtId="0" fontId="0" fillId="8" borderId="0" xfId="0" applyNumberFormat="1" applyFill="1"/>
    <xf numFmtId="0" fontId="5" fillId="8" borderId="0" xfId="0" applyFont="1" applyFill="1" applyAlignment="1">
      <alignment horizontal="center"/>
    </xf>
    <xf numFmtId="0" fontId="0" fillId="0" borderId="0" xfId="0" applyFill="1" applyAlignment="1">
      <alignment horizontal="center"/>
    </xf>
    <xf numFmtId="0" fontId="0" fillId="0" borderId="0" xfId="0" applyFill="1"/>
    <xf numFmtId="0" fontId="0" fillId="0" borderId="0" xfId="0" applyNumberFormat="1" applyFill="1"/>
    <xf numFmtId="0" fontId="11" fillId="0" borderId="1" xfId="0" applyFont="1" applyFill="1" applyBorder="1" applyAlignment="1">
      <alignment horizontal="center"/>
    </xf>
    <xf numFmtId="14" fontId="11" fillId="0" borderId="2" xfId="0" applyNumberFormat="1" applyFont="1" applyFill="1" applyBorder="1" applyAlignment="1">
      <alignment horizontal="center"/>
    </xf>
    <xf numFmtId="0" fontId="11" fillId="0" borderId="2" xfId="0" applyNumberFormat="1" applyFont="1" applyFill="1" applyBorder="1" applyAlignment="1">
      <alignment horizontal="center"/>
    </xf>
    <xf numFmtId="0" fontId="11" fillId="0" borderId="2" xfId="0" applyFont="1" applyFill="1" applyBorder="1" applyAlignment="1">
      <alignment horizontal="center"/>
    </xf>
    <xf numFmtId="0" fontId="11" fillId="0" borderId="3" xfId="0" applyFont="1" applyFill="1" applyBorder="1" applyAlignment="1">
      <alignment horizontal="center"/>
    </xf>
    <xf numFmtId="0" fontId="0" fillId="0" borderId="0" xfId="0" applyFill="1" applyAlignment="1">
      <alignment horizontal="center" wrapText="1"/>
    </xf>
    <xf numFmtId="0" fontId="10" fillId="0" borderId="0" xfId="0" applyFont="1" applyFill="1" applyAlignment="1">
      <alignment horizontal="center" wrapText="1"/>
    </xf>
    <xf numFmtId="0" fontId="18" fillId="0" borderId="0" xfId="0" applyFont="1" applyFill="1" applyAlignment="1">
      <alignment horizontal="center" wrapText="1"/>
    </xf>
    <xf numFmtId="0" fontId="4" fillId="0" borderId="11" xfId="0" applyFont="1" applyFill="1" applyBorder="1" applyAlignment="1">
      <alignment horizontal="center"/>
    </xf>
    <xf numFmtId="0" fontId="0" fillId="8" borderId="0" xfId="0" applyFill="1" applyAlignment="1">
      <alignment horizontal="left"/>
    </xf>
    <xf numFmtId="0" fontId="3" fillId="8" borderId="0" xfId="0" applyFont="1" applyFill="1" applyAlignment="1">
      <alignment horizontal="right"/>
    </xf>
    <xf numFmtId="0" fontId="3" fillId="8" borderId="0" xfId="0" applyFont="1" applyFill="1" applyAlignment="1">
      <alignment horizontal="left"/>
    </xf>
    <xf numFmtId="165" fontId="3" fillId="8" borderId="0" xfId="0" applyNumberFormat="1" applyFont="1" applyFill="1" applyAlignment="1">
      <alignment horizontal="right"/>
    </xf>
    <xf numFmtId="0" fontId="8" fillId="8" borderId="0" xfId="0" applyFont="1" applyFill="1" applyBorder="1" applyAlignment="1">
      <alignment horizontal="center"/>
    </xf>
    <xf numFmtId="0" fontId="5" fillId="8" borderId="0" xfId="0" applyFont="1" applyFill="1" applyAlignment="1">
      <alignment horizontal="right"/>
    </xf>
    <xf numFmtId="14" fontId="3" fillId="8" borderId="0" xfId="0" applyNumberFormat="1" applyFont="1" applyFill="1" applyAlignment="1">
      <alignment horizontal="right"/>
    </xf>
    <xf numFmtId="14" fontId="0" fillId="8" borderId="0" xfId="0" applyNumberFormat="1" applyFill="1"/>
    <xf numFmtId="0" fontId="4" fillId="0" borderId="2" xfId="0" applyFont="1" applyFill="1" applyBorder="1" applyAlignment="1">
      <alignment horizontal="center"/>
    </xf>
    <xf numFmtId="0" fontId="4" fillId="0" borderId="2" xfId="0" applyFont="1" applyFill="1" applyBorder="1" applyAlignment="1">
      <alignment horizontal="center" vertical="center"/>
    </xf>
    <xf numFmtId="14" fontId="4" fillId="0" borderId="2" xfId="0" applyNumberFormat="1" applyFont="1" applyFill="1" applyBorder="1" applyAlignment="1">
      <alignment horizontal="center"/>
    </xf>
    <xf numFmtId="0" fontId="4" fillId="0" borderId="3" xfId="0" applyFont="1" applyFill="1" applyBorder="1" applyAlignment="1">
      <alignment horizontal="center"/>
    </xf>
    <xf numFmtId="0" fontId="5" fillId="8" borderId="0" xfId="0" applyFont="1" applyFill="1" applyBorder="1" applyAlignment="1">
      <alignment horizontal="left"/>
    </xf>
    <xf numFmtId="0" fontId="0" fillId="8" borderId="0" xfId="0" applyFill="1" applyBorder="1" applyAlignment="1">
      <alignment horizontal="left"/>
    </xf>
    <xf numFmtId="0" fontId="4" fillId="0" borderId="7" xfId="0" applyFont="1" applyFill="1" applyBorder="1" applyAlignment="1">
      <alignment horizontal="center"/>
    </xf>
    <xf numFmtId="0" fontId="4" fillId="0" borderId="7" xfId="0" applyFont="1" applyFill="1" applyBorder="1" applyAlignment="1">
      <alignment horizontal="left"/>
    </xf>
    <xf numFmtId="0" fontId="3" fillId="0" borderId="2" xfId="0" applyFont="1" applyFill="1" applyBorder="1" applyAlignment="1">
      <alignment horizontal="right"/>
    </xf>
    <xf numFmtId="0" fontId="3" fillId="0" borderId="2" xfId="0" applyNumberFormat="1" applyFont="1" applyFill="1" applyBorder="1" applyAlignment="1">
      <alignment horizontal="right"/>
    </xf>
    <xf numFmtId="0" fontId="20" fillId="8" borderId="0" xfId="0" applyFont="1" applyFill="1"/>
    <xf numFmtId="0" fontId="5" fillId="8" borderId="0" xfId="0" applyFont="1" applyFill="1"/>
    <xf numFmtId="0" fontId="20" fillId="0" borderId="7" xfId="0" applyFont="1" applyFill="1" applyBorder="1"/>
    <xf numFmtId="0" fontId="20" fillId="0" borderId="0" xfId="0" applyFont="1" applyFill="1" applyBorder="1"/>
    <xf numFmtId="0" fontId="5" fillId="0" borderId="2" xfId="0" applyFont="1" applyFill="1" applyBorder="1"/>
    <xf numFmtId="0" fontId="7" fillId="0" borderId="0" xfId="0" applyFont="1" applyFill="1" applyBorder="1" applyAlignment="1">
      <alignment horizontal="center"/>
    </xf>
    <xf numFmtId="0" fontId="5" fillId="0" borderId="0" xfId="0" applyFont="1" applyFill="1" applyBorder="1"/>
    <xf numFmtId="0" fontId="5" fillId="0" borderId="0" xfId="0" applyFont="1" applyFill="1"/>
    <xf numFmtId="0" fontId="5" fillId="0" borderId="8" xfId="0" applyFont="1" applyFill="1" applyBorder="1"/>
    <xf numFmtId="14" fontId="0" fillId="8" borderId="0" xfId="0" applyNumberFormat="1" applyFill="1" applyAlignment="1">
      <alignment horizontal="center"/>
    </xf>
    <xf numFmtId="0" fontId="25" fillId="0" borderId="1" xfId="0" applyFont="1" applyFill="1" applyBorder="1" applyAlignment="1">
      <alignment horizontal="center"/>
    </xf>
    <xf numFmtId="164" fontId="26" fillId="0" borderId="2" xfId="0" applyNumberFormat="1" applyFont="1" applyFill="1" applyBorder="1" applyAlignment="1">
      <alignment horizontal="center"/>
    </xf>
    <xf numFmtId="0" fontId="26" fillId="0" borderId="2" xfId="0" applyNumberFormat="1" applyFont="1" applyFill="1" applyBorder="1" applyAlignment="1">
      <alignment horizontal="center"/>
    </xf>
    <xf numFmtId="0" fontId="26" fillId="0" borderId="2" xfId="0" applyNumberFormat="1" applyFont="1" applyFill="1" applyBorder="1"/>
    <xf numFmtId="0" fontId="26" fillId="0" borderId="2" xfId="0" applyFont="1" applyFill="1" applyBorder="1"/>
    <xf numFmtId="0" fontId="27" fillId="0" borderId="2" xfId="0" applyFont="1" applyFill="1" applyBorder="1" applyAlignment="1">
      <alignment horizontal="center"/>
    </xf>
    <xf numFmtId="0" fontId="28" fillId="0" borderId="2" xfId="0" applyFont="1" applyFill="1" applyBorder="1"/>
    <xf numFmtId="0" fontId="27" fillId="0" borderId="3" xfId="0" applyFont="1" applyFill="1" applyBorder="1" applyAlignment="1">
      <alignment horizontal="center"/>
    </xf>
    <xf numFmtId="0" fontId="29" fillId="8" borderId="0" xfId="0" applyFont="1" applyFill="1"/>
    <xf numFmtId="0" fontId="28" fillId="0" borderId="3" xfId="0" applyFont="1" applyFill="1" applyBorder="1"/>
    <xf numFmtId="0" fontId="30" fillId="0" borderId="2" xfId="0" applyFont="1" applyFill="1" applyBorder="1" applyAlignment="1">
      <alignment horizontal="center"/>
    </xf>
    <xf numFmtId="0" fontId="30" fillId="0" borderId="3" xfId="0" applyFont="1" applyFill="1" applyBorder="1" applyAlignment="1">
      <alignment horizontal="center"/>
    </xf>
    <xf numFmtId="0" fontId="31" fillId="0" borderId="2" xfId="0" applyFont="1" applyFill="1" applyBorder="1"/>
    <xf numFmtId="0" fontId="31" fillId="0" borderId="3" xfId="0" applyFont="1" applyFill="1" applyBorder="1"/>
    <xf numFmtId="0" fontId="31" fillId="0" borderId="1" xfId="0" applyFont="1" applyFill="1" applyBorder="1" applyAlignment="1">
      <alignment horizontal="center"/>
    </xf>
    <xf numFmtId="164" fontId="32" fillId="0" borderId="2" xfId="0" applyNumberFormat="1" applyFont="1" applyFill="1" applyBorder="1" applyAlignment="1">
      <alignment horizontal="center"/>
    </xf>
    <xf numFmtId="0" fontId="32" fillId="0" borderId="2" xfId="0" applyNumberFormat="1" applyFont="1" applyFill="1" applyBorder="1" applyAlignment="1">
      <alignment horizontal="center"/>
    </xf>
    <xf numFmtId="0" fontId="32" fillId="0" borderId="2" xfId="0" applyNumberFormat="1" applyFont="1" applyFill="1" applyBorder="1"/>
    <xf numFmtId="0" fontId="32" fillId="0" borderId="2" xfId="0" applyFont="1" applyFill="1" applyBorder="1"/>
    <xf numFmtId="164" fontId="23" fillId="0" borderId="2" xfId="0" applyNumberFormat="1" applyFont="1" applyFill="1" applyBorder="1" applyAlignment="1">
      <alignment horizontal="left"/>
    </xf>
    <xf numFmtId="0" fontId="21" fillId="0" borderId="12" xfId="0" applyFont="1" applyFill="1" applyBorder="1" applyAlignment="1">
      <alignment horizontal="center"/>
    </xf>
    <xf numFmtId="0" fontId="5" fillId="0" borderId="0" xfId="0" applyFont="1" applyFill="1" applyBorder="1" applyAlignment="1">
      <alignment horizontal="center"/>
    </xf>
    <xf numFmtId="0" fontId="34" fillId="8" borderId="0" xfId="0" applyFont="1" applyFill="1" applyAlignment="1">
      <alignment horizontal="center"/>
    </xf>
    <xf numFmtId="0" fontId="33" fillId="8" borderId="0" xfId="0" applyFont="1" applyFill="1" applyAlignment="1">
      <alignment horizontal="center"/>
    </xf>
    <xf numFmtId="0" fontId="35" fillId="8" borderId="0" xfId="0" applyFont="1" applyFill="1" applyAlignment="1">
      <alignment horizontal="center"/>
    </xf>
    <xf numFmtId="0" fontId="7" fillId="0"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xf>
    <xf numFmtId="0" fontId="0" fillId="0" borderId="0" xfId="0" applyNumberFormat="1" applyAlignment="1">
      <alignment horizontal="center"/>
    </xf>
    <xf numFmtId="0" fontId="19" fillId="12" borderId="4" xfId="6" applyFont="1" applyFill="1" applyBorder="1" applyAlignment="1">
      <alignment horizontal="center" wrapText="1"/>
    </xf>
    <xf numFmtId="0" fontId="19" fillId="12" borderId="5" xfId="6" applyFont="1" applyFill="1" applyBorder="1" applyAlignment="1">
      <alignment horizontal="center" wrapText="1"/>
    </xf>
    <xf numFmtId="0" fontId="19" fillId="12" borderId="6" xfId="6" applyFont="1" applyFill="1" applyBorder="1" applyAlignment="1">
      <alignment horizontal="center" wrapText="1"/>
    </xf>
    <xf numFmtId="0" fontId="16" fillId="11" borderId="4" xfId="4" applyFont="1" applyFill="1" applyBorder="1" applyAlignment="1">
      <alignment horizontal="center" wrapText="1"/>
    </xf>
    <xf numFmtId="0" fontId="16" fillId="11" borderId="5" xfId="4" applyFont="1" applyFill="1" applyBorder="1" applyAlignment="1">
      <alignment horizontal="center" wrapText="1"/>
    </xf>
    <xf numFmtId="0" fontId="16" fillId="11" borderId="6" xfId="4" applyFont="1" applyFill="1" applyBorder="1" applyAlignment="1">
      <alignment horizontal="center" wrapText="1"/>
    </xf>
    <xf numFmtId="0" fontId="13" fillId="10" borderId="9" xfId="6" applyFont="1" applyFill="1" applyBorder="1" applyAlignment="1">
      <alignment horizontal="center" wrapText="1"/>
    </xf>
    <xf numFmtId="0" fontId="13" fillId="10" borderId="10" xfId="6" applyFont="1" applyFill="1" applyBorder="1" applyAlignment="1">
      <alignment horizontal="center" wrapText="1"/>
    </xf>
    <xf numFmtId="0" fontId="13" fillId="10" borderId="6" xfId="6" applyFont="1" applyFill="1" applyBorder="1" applyAlignment="1">
      <alignment horizontal="center" wrapText="1"/>
    </xf>
    <xf numFmtId="0" fontId="17" fillId="9" borderId="4" xfId="1" applyFont="1" applyFill="1" applyBorder="1" applyAlignment="1">
      <alignment horizontal="center" wrapText="1"/>
    </xf>
    <xf numFmtId="0" fontId="17" fillId="9" borderId="5" xfId="1" applyFont="1" applyFill="1" applyBorder="1" applyAlignment="1">
      <alignment horizontal="center" wrapText="1"/>
    </xf>
    <xf numFmtId="0" fontId="17" fillId="9" borderId="6" xfId="1" applyFont="1" applyFill="1" applyBorder="1" applyAlignment="1">
      <alignment horizontal="center" wrapText="1"/>
    </xf>
    <xf numFmtId="0" fontId="10" fillId="14" borderId="7" xfId="2" applyFont="1" applyFill="1" applyBorder="1" applyAlignment="1">
      <alignment horizontal="center" wrapText="1"/>
    </xf>
    <xf numFmtId="0" fontId="4" fillId="7" borderId="4" xfId="5" applyFont="1" applyFill="1" applyBorder="1" applyAlignment="1">
      <alignment horizontal="center" wrapText="1"/>
    </xf>
    <xf numFmtId="0" fontId="4" fillId="7" borderId="6" xfId="5" applyFont="1" applyFill="1" applyBorder="1" applyAlignment="1">
      <alignment horizontal="center" wrapText="1"/>
    </xf>
    <xf numFmtId="0" fontId="17" fillId="13" borderId="0" xfId="3" applyFont="1" applyFill="1" applyAlignment="1">
      <alignment horizontal="center" wrapText="1"/>
    </xf>
    <xf numFmtId="0" fontId="37" fillId="0" borderId="12" xfId="0" applyFont="1" applyFill="1" applyBorder="1" applyAlignment="1">
      <alignment horizontal="center"/>
    </xf>
    <xf numFmtId="0" fontId="37" fillId="0" borderId="12" xfId="0" applyNumberFormat="1" applyFont="1" applyFill="1" applyBorder="1" applyAlignment="1">
      <alignment horizontal="center"/>
    </xf>
    <xf numFmtId="0" fontId="23" fillId="0" borderId="12" xfId="0" applyFont="1" applyFill="1" applyBorder="1" applyAlignment="1">
      <alignment horizontal="center"/>
    </xf>
  </cellXfs>
  <cellStyles count="7">
    <cellStyle name="20% - Accent1" xfId="1" builtinId="30"/>
    <cellStyle name="20% - Accent4" xfId="3" builtinId="42"/>
    <cellStyle name="20% - Accent5" xfId="5" builtinId="46"/>
    <cellStyle name="40% - Accent2" xfId="2" builtinId="35"/>
    <cellStyle name="40% - Accent4" xfId="4" builtinId="43"/>
    <cellStyle name="Hyperlink" xfId="6" builtinId="8"/>
    <cellStyle name="Normal" xfId="0" builtinId="0"/>
  </cellStyles>
  <dxfs count="82">
    <dxf>
      <font>
        <b val="0"/>
        <i val="0"/>
        <strike val="0"/>
        <condense val="0"/>
        <extend val="0"/>
        <outline val="0"/>
        <shadow val="0"/>
        <u val="none"/>
        <vertAlign val="baseline"/>
        <sz val="14"/>
        <color auto="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ck">
          <color auto="1"/>
        </left>
        <right style="thick">
          <color auto="1"/>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Calibri"/>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Aptos Narrow"/>
        <family val="2"/>
        <scheme val="minor"/>
      </font>
      <fill>
        <patternFill patternType="none">
          <fgColor indexed="64"/>
          <bgColor indexed="65"/>
        </patternFill>
      </fill>
      <border diagonalUp="0" diagonalDown="0" outline="0">
        <left style="medium">
          <color indexed="64"/>
        </left>
        <right style="medium">
          <color auto="1"/>
        </right>
        <top/>
        <bottom style="medium">
          <color indexed="64"/>
        </bottom>
      </border>
    </dxf>
    <dxf>
      <font>
        <b/>
        <i val="0"/>
        <strike val="0"/>
        <condense val="0"/>
        <extend val="0"/>
        <outline val="0"/>
        <shadow val="0"/>
        <u val="none"/>
        <vertAlign val="baseline"/>
        <sz val="18"/>
        <color theme="4"/>
        <name val="Comic Sans MS"/>
        <family val="4"/>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ck">
          <color auto="1"/>
        </left>
        <right style="thick">
          <color auto="1"/>
        </right>
        <top/>
        <bottom/>
      </border>
    </dxf>
    <dxf>
      <font>
        <b/>
        <strike val="0"/>
        <outline val="0"/>
        <shadow val="0"/>
        <u val="none"/>
        <vertAlign val="baseline"/>
        <sz val="14"/>
        <color auto="1"/>
        <name val="Aptos ExtraBold"/>
        <family val="2"/>
        <scheme val="none"/>
      </font>
      <numFmt numFmtId="0" formatCode="General"/>
      <fill>
        <patternFill patternType="none">
          <fgColor indexed="64"/>
          <bgColor auto="1"/>
        </patternFill>
      </fill>
      <alignment horizontal="center" vertical="bottom" textRotation="0" indent="0" justifyLastLine="0" shrinkToFit="0" readingOrder="0"/>
      <border diagonalUp="0" diagonalDown="0" outline="0">
        <left style="thick">
          <color auto="1"/>
        </left>
        <right/>
        <top/>
        <bottom/>
      </border>
    </dxf>
    <dxf>
      <font>
        <strike val="0"/>
        <outline val="0"/>
        <shadow val="0"/>
        <u val="none"/>
        <vertAlign val="baseline"/>
        <sz val="14"/>
        <color theme="1"/>
      </font>
      <fill>
        <patternFill patternType="none">
          <fgColor indexed="64"/>
          <bgColor auto="1"/>
        </patternFill>
      </fill>
      <border outline="0">
        <right style="thick">
          <color auto="1"/>
        </right>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ont>
        <b/>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theme="3"/>
        </left>
        <right style="medium">
          <color theme="3"/>
        </right>
        <top style="medium">
          <color theme="3"/>
        </top>
        <bottom style="medium">
          <color theme="3"/>
        </bottom>
      </border>
    </dxf>
    <dxf>
      <fill>
        <patternFill patternType="none">
          <fgColor indexed="64"/>
          <bgColor indexed="65"/>
        </patternFill>
      </fill>
      <alignment horizontal="center" vertical="bottom" textRotation="0" wrapText="1" indent="0" justifyLastLine="0" shrinkToFit="0" readingOrder="0"/>
    </dxf>
    <dxf>
      <font>
        <b/>
        <i val="0"/>
        <strike val="0"/>
        <condense val="0"/>
        <extend val="0"/>
        <outline val="0"/>
        <shadow val="0"/>
        <u val="none"/>
        <vertAlign val="baseline"/>
        <sz val="18"/>
        <color theme="1"/>
        <name val="Aptos Narrow"/>
        <family val="2"/>
        <scheme val="minor"/>
      </font>
      <fill>
        <patternFill patternType="none">
          <fgColor indexed="64"/>
          <bgColor indexed="65"/>
        </patternFill>
      </fill>
      <alignment horizontal="center"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fill>
        <patternFill patternType="none">
          <fgColor indexed="64"/>
          <bgColor indexed="65"/>
        </patternFill>
      </fill>
      <alignment horizontal="center"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dxf>
    <dxf>
      <font>
        <b/>
        <i val="0"/>
        <strike val="0"/>
      </font>
      <fill>
        <patternFill>
          <bgColor theme="9" tint="0.59996337778862885"/>
        </patternFill>
      </fill>
    </dxf>
    <dxf>
      <font>
        <color rgb="FF9933FF"/>
      </font>
    </dxf>
    <dxf>
      <font>
        <color rgb="FFFF0066"/>
      </font>
    </dxf>
    <dxf>
      <font>
        <color theme="9"/>
      </font>
    </dxf>
    <dxf>
      <font>
        <color theme="5"/>
      </font>
    </dxf>
    <dxf>
      <font>
        <color rgb="FF0070C0"/>
      </font>
    </dxf>
    <dxf>
      <fill>
        <patternFill>
          <bgColor theme="9" tint="0.79998168889431442"/>
        </patternFill>
      </fill>
    </dxf>
    <dxf>
      <alignment horizontal="center"/>
    </dxf>
    <dxf>
      <alignment horizontal="center"/>
    </dxf>
    <dxf>
      <alignment horizontal="center"/>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dxf>
    <dxf>
      <font>
        <strike val="0"/>
        <outline val="0"/>
        <shadow val="0"/>
        <u val="none"/>
        <vertAlign val="baseline"/>
        <sz val="14"/>
        <color theme="1"/>
      </font>
      <fill>
        <patternFill patternType="none">
          <fgColor indexed="64"/>
          <bgColor auto="1"/>
        </patternFill>
      </fill>
      <border diagonalUp="0" diagonalDown="0" outline="0">
        <left style="medium">
          <color auto="1"/>
        </left>
        <right style="medium">
          <color auto="1"/>
        </right>
        <top/>
        <bottom/>
      </border>
    </dxf>
    <dxf>
      <font>
        <strike val="0"/>
        <outline val="0"/>
        <shadow val="0"/>
        <u val="none"/>
        <vertAlign val="baseline"/>
        <sz val="14"/>
        <color theme="1"/>
      </font>
      <fill>
        <patternFill patternType="none">
          <fgColor indexed="64"/>
          <bgColor indexed="65"/>
        </patternFill>
      </fill>
      <border diagonalUp="0" diagonalDown="0">
        <left style="medium">
          <color auto="1"/>
        </left>
        <right style="medium">
          <color auto="1"/>
        </right>
        <top/>
        <bottom/>
        <vertical/>
        <horizontal/>
      </border>
    </dxf>
    <dxf>
      <font>
        <strike val="0"/>
        <outline val="0"/>
        <shadow val="0"/>
        <u val="none"/>
        <vertAlign val="baseline"/>
        <sz val="14"/>
        <color theme="1"/>
        <family val="4"/>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family val="4"/>
      </font>
      <fill>
        <patternFill patternType="none">
          <fgColor indexed="64"/>
          <bgColor auto="1"/>
        </patternFill>
      </fill>
    </dxf>
    <dxf>
      <font>
        <strike val="0"/>
        <outline val="0"/>
        <shadow val="0"/>
        <u val="none"/>
        <vertAlign val="baseline"/>
        <sz val="16"/>
        <color theme="1"/>
        <name val="Comic Sans MS"/>
        <family val="4"/>
        <scheme val="none"/>
      </font>
      <fill>
        <patternFill patternType="none">
          <fgColor indexed="64"/>
          <bgColor auto="1"/>
        </patternFill>
      </fill>
    </dxf>
    <dxf>
      <font>
        <b/>
        <strike val="0"/>
        <outline val="0"/>
        <shadow val="0"/>
        <u val="none"/>
        <vertAlign val="baseline"/>
        <sz val="12"/>
      </font>
      <fill>
        <patternFill patternType="none">
          <fgColor indexed="64"/>
          <bgColor auto="1"/>
        </patternFill>
      </fill>
      <border diagonalUp="0" diagonalDown="0" outline="0">
        <left style="medium">
          <color auto="1"/>
        </left>
        <right/>
        <top/>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b/>
        <strike val="0"/>
        <outline val="0"/>
        <shadow val="0"/>
        <u val="none"/>
        <vertAlign val="baseline"/>
        <sz val="12"/>
      </font>
      <fill>
        <patternFill patternType="none">
          <fgColor indexed="64"/>
          <bgColor auto="1"/>
        </patternFill>
      </fill>
      <border diagonalUp="0" diagonalDown="0" outline="0">
        <left style="medium">
          <color auto="1"/>
        </left>
        <right style="medium">
          <color auto="1"/>
        </right>
        <top/>
        <bottom/>
      </border>
    </dxf>
    <dxf>
      <font>
        <strike val="0"/>
        <outline val="0"/>
        <shadow val="0"/>
        <u val="none"/>
        <vertAlign val="baseline"/>
        <sz val="12"/>
        <color theme="1"/>
        <name val="Comic Sans MS"/>
        <family val="4"/>
        <scheme val="none"/>
      </font>
      <fill>
        <patternFill patternType="none">
          <fgColor indexed="64"/>
          <bgColor auto="1"/>
        </patternFill>
      </fill>
      <border diagonalUp="0" diagonalDown="0" outline="0">
        <left style="medium">
          <color auto="1"/>
        </left>
        <right style="medium">
          <color auto="1"/>
        </right>
        <top/>
        <bottom/>
      </border>
    </dxf>
    <dxf>
      <font>
        <strike val="0"/>
        <outline val="0"/>
        <shadow val="0"/>
        <u val="none"/>
        <vertAlign val="baseline"/>
        <sz val="12"/>
        <color theme="1"/>
        <name val="Comic Sans MS"/>
        <family val="4"/>
        <scheme val="none"/>
      </font>
      <numFmt numFmtId="0" formatCode="General"/>
      <fill>
        <patternFill patternType="none">
          <fgColor indexed="64"/>
          <bgColor auto="1"/>
        </patternFill>
      </fill>
      <border diagonalUp="0" diagonalDown="0" outline="0">
        <left style="medium">
          <color auto="1"/>
        </left>
        <right style="medium">
          <color auto="1"/>
        </right>
        <top/>
        <bottom/>
      </border>
    </dxf>
    <dxf>
      <font>
        <strike val="0"/>
        <outline val="0"/>
        <shadow val="0"/>
        <u val="none"/>
        <vertAlign val="baseline"/>
        <sz val="12"/>
        <color theme="1"/>
        <name val="Comic Sans MS"/>
        <family val="4"/>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strike val="0"/>
        <outline val="0"/>
        <shadow val="0"/>
        <u val="none"/>
        <vertAlign val="baseline"/>
        <sz val="12"/>
        <color theme="1"/>
        <name val="Comic Sans MS"/>
        <family val="4"/>
        <scheme val="none"/>
      </font>
      <numFmt numFmtId="164" formatCode="[$-C09]d\ mmmm\ yyyy;@"/>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strike val="0"/>
        <outline val="0"/>
        <shadow val="0"/>
        <u val="none"/>
        <vertAlign val="baseline"/>
        <sz val="12"/>
        <color theme="1"/>
        <name val="Comic Sans MS"/>
        <family val="4"/>
        <scheme val="none"/>
      </font>
      <numFmt numFmtId="164" formatCode="[$-C09]d\ mmmm\ yyyy;@"/>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strike val="0"/>
        <outline val="0"/>
        <shadow val="0"/>
        <u val="none"/>
        <vertAlign val="baseline"/>
        <sz val="12"/>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style="medium">
          <color auto="1"/>
        </right>
        <top/>
        <bottom/>
      </border>
    </dxf>
    <dxf>
      <fill>
        <patternFill patternType="none">
          <fgColor indexed="64"/>
          <bgColor auto="1"/>
        </patternFill>
      </fill>
      <alignment horizontal="center" vertical="bottom" textRotation="0" indent="0" justifyLastLine="0" shrinkToFit="0" readingOrder="0"/>
      <border diagonalUp="0" diagonalDown="0" outline="0">
        <left style="medium">
          <color auto="1"/>
        </left>
        <right style="medium">
          <color auto="1"/>
        </right>
        <top/>
        <bottom/>
      </border>
    </dxf>
    <dxf>
      <border diagonalUp="0" diagonalDown="0">
        <left/>
        <right style="medium">
          <color auto="1"/>
        </right>
        <top/>
        <bottom/>
      </border>
    </dxf>
    <dxf>
      <font>
        <strike val="0"/>
        <outline val="0"/>
        <shadow val="0"/>
        <u val="none"/>
        <vertAlign val="baseline"/>
        <sz val="12"/>
        <family val="4"/>
      </font>
      <fill>
        <patternFill patternType="none">
          <fgColor indexed="64"/>
          <bgColor auto="1"/>
        </patternFill>
      </fill>
    </dxf>
    <dxf>
      <font>
        <b/>
        <i val="0"/>
        <strike val="0"/>
        <condense val="0"/>
        <extend val="0"/>
        <outline val="0"/>
        <shadow val="0"/>
        <u val="none"/>
        <vertAlign val="baseline"/>
        <sz val="14"/>
        <color theme="1"/>
        <name val="Comic Sans MS"/>
        <family val="4"/>
        <scheme val="none"/>
      </font>
      <fill>
        <patternFill patternType="none">
          <fgColor indexed="64"/>
          <bgColor auto="1"/>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border>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theme="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numFmt numFmtId="165" formatCode="[$-F800]dddd\,\ mmmm\ dd\,\ yyyy"/>
      <fill>
        <patternFill patternType="none">
          <fgColor indexed="64"/>
          <bgColor auto="1"/>
        </patternFill>
      </fill>
      <alignment horizontal="left" vertical="bottom" textRotation="0" wrapText="0"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1"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outline="0">
        <left style="medium">
          <color auto="1"/>
        </left>
        <right style="medium">
          <color auto="1"/>
        </right>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diagonalUp="0" diagonalDown="0">
        <left style="medium">
          <color indexed="64"/>
        </left>
        <right style="medium">
          <color auto="1"/>
        </right>
        <top/>
        <bottom/>
        <vertical style="medium">
          <color indexed="64"/>
        </vertical>
        <horizontal/>
      </border>
    </dxf>
    <dxf>
      <font>
        <b val="0"/>
        <strike val="0"/>
        <outline val="0"/>
        <shadow val="0"/>
        <u val="none"/>
        <vertAlign val="baseline"/>
        <sz val="14"/>
        <color auto="1"/>
        <name val="Aptos Narrow"/>
        <family val="2"/>
        <scheme val="minor"/>
      </font>
      <fill>
        <patternFill patternType="none">
          <fgColor indexed="64"/>
          <bgColor auto="1"/>
        </patternFill>
      </fill>
      <alignment horizontal="left" vertical="bottom" textRotation="0" wrapText="0" indent="0" justifyLastLine="0" shrinkToFit="0" readingOrder="0"/>
      <border diagonalUp="0" diagonalDown="0">
        <left style="medium">
          <color indexed="64"/>
        </left>
        <right style="medium">
          <color indexed="64"/>
        </right>
        <top/>
        <bottom/>
        <vertical style="medium">
          <color indexed="64"/>
        </vertical>
        <horizontal/>
      </border>
    </dxf>
    <dxf>
      <font>
        <strike val="0"/>
        <outline val="0"/>
        <shadow val="0"/>
        <u val="none"/>
        <vertAlign val="baseline"/>
        <sz val="14"/>
        <color theme="1"/>
        <name val="Aptos Narrow"/>
        <family val="2"/>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medium">
          <color indexed="64"/>
        </left>
        <right style="medium">
          <color indexed="64"/>
        </right>
        <top/>
        <bottom/>
        <vertical style="medium">
          <color indexed="64"/>
        </vertical>
        <horizontal/>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family val="2"/>
      </font>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textRotation="0" wrapText="0" indent="0" justifyLastLine="0" shrinkToFit="0" readingOrder="0"/>
      <border diagonalUp="0" diagonalDown="0" outline="0">
        <left style="medium">
          <color indexed="64"/>
        </left>
        <right style="medium">
          <color indexed="64"/>
        </right>
        <top/>
        <bottom/>
      </border>
    </dxf>
  </dxfs>
  <tableStyles count="0" defaultTableStyle="TableStyleMedium2" defaultPivotStyle="PivotStyleLight16"/>
  <colors>
    <mruColors>
      <color rgb="FFD46F0A"/>
      <color rgb="FF23BBA2"/>
      <color rgb="FFFF9999"/>
      <color rgb="FFFFCCCC"/>
      <color rgb="FFFFFFCC"/>
      <color rgb="FF9933FF"/>
      <color rgb="FFFF0066"/>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Store!PivotTable6</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98390038002849"/>
          <c:y val="0.14352405769264762"/>
          <c:w val="0.49065492749123868"/>
          <c:h val="0.71910224455810956"/>
        </c:manualLayout>
      </c:layout>
      <c:radarChart>
        <c:radarStyle val="filled"/>
        <c:varyColors val="0"/>
        <c:ser>
          <c:idx val="0"/>
          <c:order val="0"/>
          <c:tx>
            <c:strRef>
              <c:f>'Hidden Sheet, Store'!$M$2:$M$3</c:f>
              <c:strCache>
                <c:ptCount val="1"/>
                <c:pt idx="0">
                  <c:v>Birth - 4 months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Store'!$M$4:$M$10</c:f>
              <c:numCache>
                <c:formatCode>General</c:formatCode>
                <c:ptCount val="6"/>
                <c:pt idx="3">
                  <c:v>4</c:v>
                </c:pt>
                <c:pt idx="4">
                  <c:v>1</c:v>
                </c:pt>
              </c:numCache>
            </c:numRef>
          </c:val>
          <c:extLst>
            <c:ext xmlns:c16="http://schemas.microsoft.com/office/drawing/2014/chart" uri="{C3380CC4-5D6E-409C-BE32-E72D297353CC}">
              <c16:uniqueId val="{00000000-C7A2-4150-841F-CC809FD74AAE}"/>
            </c:ext>
          </c:extLst>
        </c:ser>
        <c:ser>
          <c:idx val="1"/>
          <c:order val="1"/>
          <c:tx>
            <c:strRef>
              <c:f>'Hidden Sheet, Store'!$N$2:$N$3</c:f>
              <c:strCache>
                <c:ptCount val="1"/>
                <c:pt idx="0">
                  <c:v>4-8 months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Store'!$N$4:$N$10</c:f>
              <c:numCache>
                <c:formatCode>General</c:formatCode>
                <c:ptCount val="6"/>
                <c:pt idx="0">
                  <c:v>1</c:v>
                </c:pt>
                <c:pt idx="1">
                  <c:v>2</c:v>
                </c:pt>
                <c:pt idx="2">
                  <c:v>1</c:v>
                </c:pt>
                <c:pt idx="3">
                  <c:v>3</c:v>
                </c:pt>
                <c:pt idx="4">
                  <c:v>1</c:v>
                </c:pt>
              </c:numCache>
            </c:numRef>
          </c:val>
          <c:extLst>
            <c:ext xmlns:c16="http://schemas.microsoft.com/office/drawing/2014/chart" uri="{C3380CC4-5D6E-409C-BE32-E72D297353CC}">
              <c16:uniqueId val="{00000001-2495-4268-941A-6ED88C321DC6}"/>
            </c:ext>
          </c:extLst>
        </c:ser>
        <c:ser>
          <c:idx val="2"/>
          <c:order val="2"/>
          <c:tx>
            <c:strRef>
              <c:f>'Hidden Sheet, Store'!$O$2:$O$3</c:f>
              <c:strCache>
                <c:ptCount val="1"/>
                <c:pt idx="0">
                  <c:v>8-12 months</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Store'!$O$4:$O$10</c:f>
              <c:numCache>
                <c:formatCode>General</c:formatCode>
                <c:ptCount val="6"/>
                <c:pt idx="0">
                  <c:v>1</c:v>
                </c:pt>
                <c:pt idx="2">
                  <c:v>2</c:v>
                </c:pt>
              </c:numCache>
            </c:numRef>
          </c:val>
          <c:extLst>
            <c:ext xmlns:c16="http://schemas.microsoft.com/office/drawing/2014/chart" uri="{C3380CC4-5D6E-409C-BE32-E72D297353CC}">
              <c16:uniqueId val="{00000002-2495-4268-941A-6ED88C321DC6}"/>
            </c:ext>
          </c:extLst>
        </c:ser>
        <c:ser>
          <c:idx val="3"/>
          <c:order val="3"/>
          <c:tx>
            <c:strRef>
              <c:f>'Hidden Sheet, Store'!$P$2:$P$3</c:f>
              <c:strCache>
                <c:ptCount val="1"/>
                <c:pt idx="0">
                  <c:v>1-2 years</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Store'!$P$4:$P$10</c:f>
              <c:numCache>
                <c:formatCode>General</c:formatCode>
                <c:ptCount val="6"/>
                <c:pt idx="0">
                  <c:v>4</c:v>
                </c:pt>
                <c:pt idx="1">
                  <c:v>2</c:v>
                </c:pt>
                <c:pt idx="3">
                  <c:v>1</c:v>
                </c:pt>
                <c:pt idx="4">
                  <c:v>1</c:v>
                </c:pt>
              </c:numCache>
            </c:numRef>
          </c:val>
          <c:extLst>
            <c:ext xmlns:c16="http://schemas.microsoft.com/office/drawing/2014/chart" uri="{C3380CC4-5D6E-409C-BE32-E72D297353CC}">
              <c16:uniqueId val="{00000004-2495-4268-941A-6ED88C321DC6}"/>
            </c:ext>
          </c:extLst>
        </c:ser>
        <c:ser>
          <c:idx val="4"/>
          <c:order val="4"/>
          <c:tx>
            <c:strRef>
              <c:f>'Hidden Sheet, Store'!$Q$2:$Q$3</c:f>
              <c:strCache>
                <c:ptCount val="1"/>
                <c:pt idx="0">
                  <c:v>2-3 years</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Store'!$Q$4:$Q$10</c:f>
              <c:numCache>
                <c:formatCode>General</c:formatCode>
                <c:ptCount val="6"/>
                <c:pt idx="2">
                  <c:v>1</c:v>
                </c:pt>
                <c:pt idx="5">
                  <c:v>3</c:v>
                </c:pt>
              </c:numCache>
            </c:numRef>
          </c:val>
          <c:extLst>
            <c:ext xmlns:c16="http://schemas.microsoft.com/office/drawing/2014/chart" uri="{C3380CC4-5D6E-409C-BE32-E72D297353CC}">
              <c16:uniqueId val="{00000005-2495-4268-941A-6ED88C321DC6}"/>
            </c:ext>
          </c:extLst>
        </c:ser>
        <c:ser>
          <c:idx val="5"/>
          <c:order val="5"/>
          <c:tx>
            <c:strRef>
              <c:f>'Hidden Sheet, Store'!$R$2:$R$3</c:f>
              <c:strCache>
                <c:ptCount val="1"/>
                <c:pt idx="0">
                  <c:v>3-5 years</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'Hidden Sheet, Store'!$L$4:$L$10</c:f>
              <c:strCache>
                <c:ptCount val="6"/>
                <c:pt idx="0">
                  <c:v>Cognitive</c:v>
                </c:pt>
                <c:pt idx="1">
                  <c:v>Emotional</c:v>
                </c:pt>
                <c:pt idx="2">
                  <c:v>Language</c:v>
                </c:pt>
                <c:pt idx="3">
                  <c:v>Physical</c:v>
                </c:pt>
                <c:pt idx="4">
                  <c:v>Social</c:v>
                </c:pt>
                <c:pt idx="5">
                  <c:v>Socio/Emotional</c:v>
                </c:pt>
              </c:strCache>
            </c:strRef>
          </c:cat>
          <c:val>
            <c:numRef>
              <c:f>'Hidden Sheet, Store'!$R$4:$R$10</c:f>
              <c:numCache>
                <c:formatCode>General</c:formatCode>
                <c:ptCount val="6"/>
                <c:pt idx="1">
                  <c:v>1</c:v>
                </c:pt>
                <c:pt idx="2">
                  <c:v>2</c:v>
                </c:pt>
                <c:pt idx="5">
                  <c:v>2</c:v>
                </c:pt>
              </c:numCache>
            </c:numRef>
          </c:val>
          <c:extLst>
            <c:ext xmlns:c16="http://schemas.microsoft.com/office/drawing/2014/chart" uri="{C3380CC4-5D6E-409C-BE32-E72D297353CC}">
              <c16:uniqueId val="{00000006-2495-4268-941A-6ED88C321DC6}"/>
            </c:ext>
          </c:extLst>
        </c:ser>
        <c:dLbls>
          <c:showLegendKey val="0"/>
          <c:showVal val="0"/>
          <c:showCatName val="0"/>
          <c:showSerName val="0"/>
          <c:showPercent val="0"/>
          <c:showBubbleSize val="0"/>
        </c:dLbls>
        <c:axId val="1667855647"/>
        <c:axId val="1667851327"/>
      </c:radarChart>
      <c:catAx>
        <c:axId val="16678556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1667851327"/>
        <c:crosses val="autoZero"/>
        <c:auto val="1"/>
        <c:lblAlgn val="ctr"/>
        <c:lblOffset val="100"/>
        <c:noMultiLvlLbl val="0"/>
      </c:catAx>
      <c:valAx>
        <c:axId val="1667851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667855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tx1"/>
      </a:solidFill>
      <a:round/>
    </a:ln>
    <a:effectLst>
      <a:outerShdw blurRad="50800" dist="38100" dir="5400000" sx="102000" sy="102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Store!PivotTable11</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a:noFill/>
          </a:ln>
          <a:effectLst/>
          <a:sp3d/>
        </c:spPr>
        <c:dLbl>
          <c:idx val="0"/>
          <c:layout>
            <c:manualLayout>
              <c:x val="8.1552123124441645E-3"/>
              <c:y val="-0.231018230669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a:noFill/>
          </a:ln>
          <a:effectLst/>
          <a:sp3d/>
        </c:spPr>
        <c:dLbl>
          <c:idx val="0"/>
          <c:layout>
            <c:manualLayout>
              <c:x val="2.0388030781109661E-3"/>
              <c:y val="-0.38250559504266546"/>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tx1">
              <a:lumMod val="50000"/>
              <a:lumOff val="50000"/>
            </a:schemeClr>
          </a:solidFill>
          <a:ln>
            <a:noFill/>
          </a:ln>
          <a:effectLst/>
          <a:sp3d/>
        </c:spPr>
        <c:dLbl>
          <c:idx val="0"/>
          <c:layout>
            <c:manualLayout>
              <c:x val="1.2232818468666246E-2"/>
              <c:y val="-0.1779976531386661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sp3d/>
        </c:spPr>
        <c:dLbl>
          <c:idx val="0"/>
          <c:layout>
            <c:manualLayout>
              <c:x val="2.0388030781110411E-3"/>
              <c:y val="-0.3711440427146655"/>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sp3d/>
        </c:spPr>
        <c:dLbl>
          <c:idx val="0"/>
          <c:layout>
            <c:manualLayout>
              <c:x val="2.0388030781110411E-3"/>
              <c:y val="-0.26889007176266583"/>
            </c:manualLayout>
          </c:layout>
          <c:spPr>
            <a:noFill/>
            <a:ln>
              <a:noFill/>
            </a:ln>
            <a:effectLst/>
          </c:spPr>
          <c:txPr>
            <a:bodyPr rot="0" spcFirstLastPara="1" vertOverflow="overflow" horzOverflow="overflow" vert="horz" wrap="non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a:noFill/>
          </a:ln>
          <a:effectLst/>
          <a:sp3d/>
        </c:spPr>
        <c:dLbl>
          <c:idx val="0"/>
          <c:layout>
            <c:manualLayout>
              <c:x val="1.4271621546777137E-2"/>
              <c:y val="-0.253741335325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sp3d/>
        </c:spPr>
        <c:dLbl>
          <c:idx val="0"/>
          <c:layout>
            <c:manualLayout>
              <c:x val="2.0388030781110411E-3"/>
              <c:y val="-0.26889007176266583"/>
            </c:manualLayout>
          </c:layout>
          <c:spPr>
            <a:noFill/>
            <a:ln>
              <a:noFill/>
            </a:ln>
            <a:effectLst/>
          </c:spPr>
          <c:txPr>
            <a:bodyPr rot="0" spcFirstLastPara="1" vertOverflow="overflow" horzOverflow="overflow" vert="horz" wrap="non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sp3d/>
        </c:spPr>
        <c:dLbl>
          <c:idx val="0"/>
          <c:layout>
            <c:manualLayout>
              <c:x val="2.0388030781110411E-3"/>
              <c:y val="-0.3711440427146655"/>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tx1">
              <a:lumMod val="50000"/>
              <a:lumOff val="50000"/>
            </a:schemeClr>
          </a:solidFill>
          <a:ln>
            <a:noFill/>
          </a:ln>
          <a:effectLst/>
          <a:sp3d/>
        </c:spPr>
        <c:dLbl>
          <c:idx val="0"/>
          <c:layout>
            <c:manualLayout>
              <c:x val="1.2232818468666246E-2"/>
              <c:y val="-0.1779976531386661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solidFill>
          <a:ln>
            <a:noFill/>
          </a:ln>
          <a:effectLst/>
          <a:sp3d/>
        </c:spPr>
        <c:dLbl>
          <c:idx val="0"/>
          <c:layout>
            <c:manualLayout>
              <c:x val="2.0388030781109661E-3"/>
              <c:y val="-0.38250559504266546"/>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5"/>
          </a:solidFill>
          <a:ln>
            <a:noFill/>
          </a:ln>
          <a:effectLst/>
          <a:sp3d/>
        </c:spPr>
        <c:dLbl>
          <c:idx val="0"/>
          <c:layout>
            <c:manualLayout>
              <c:x val="8.1552123124441645E-3"/>
              <c:y val="-0.231018230669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6"/>
          </a:solidFill>
          <a:ln>
            <a:noFill/>
          </a:ln>
          <a:effectLst/>
          <a:sp3d/>
        </c:spPr>
        <c:dLbl>
          <c:idx val="0"/>
          <c:layout>
            <c:manualLayout>
              <c:x val="1.4271621546777137E-2"/>
              <c:y val="-0.25374133532533261"/>
            </c:manualLayout>
          </c:layout>
          <c:spPr>
            <a:noFill/>
            <a:ln>
              <a:noFill/>
            </a:ln>
            <a:effectLst/>
          </c:spPr>
          <c:txPr>
            <a:bodyPr rot="0" spcFirstLastPara="1" vertOverflow="overflow" horzOverflow="overflow"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a:sp3d/>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6"/>
          </a:solidFill>
          <a:ln>
            <a:noFill/>
          </a:ln>
          <a:effectLst/>
          <a:sp3d/>
        </c:spPr>
        <c:dLbl>
          <c:idx val="0"/>
          <c:layout>
            <c:manualLayout>
              <c:x val="1.4271621546777137E-2"/>
              <c:y val="-0.253741335325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4"/>
          </a:solidFill>
          <a:ln>
            <a:noFill/>
          </a:ln>
          <a:effectLst/>
          <a:sp3d/>
        </c:spPr>
        <c:dLbl>
          <c:idx val="0"/>
          <c:layout>
            <c:manualLayout>
              <c:x val="2.0388030781109661E-3"/>
              <c:y val="-0.38250559504266546"/>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5"/>
          </a:solidFill>
          <a:ln>
            <a:noFill/>
          </a:ln>
          <a:effectLst/>
          <a:sp3d/>
        </c:spPr>
        <c:dLbl>
          <c:idx val="0"/>
          <c:layout>
            <c:manualLayout>
              <c:x val="8.1552123124441645E-3"/>
              <c:y val="-0.231018230669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sp3d/>
        </c:spPr>
        <c:dLbl>
          <c:idx val="0"/>
          <c:layout>
            <c:manualLayout>
              <c:x val="1.4213108921261689E-2"/>
              <c:y val="-0.39236399590364368"/>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sp3d/>
        </c:spPr>
        <c:dLbl>
          <c:idx val="0"/>
          <c:layout>
            <c:manualLayout>
              <c:x val="2.0388030781110411E-3"/>
              <c:y val="-0.3711440427146655"/>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tx1">
              <a:lumMod val="50000"/>
              <a:lumOff val="50000"/>
            </a:schemeClr>
          </a:solidFill>
          <a:ln>
            <a:noFill/>
          </a:ln>
          <a:effectLst/>
          <a:sp3d/>
        </c:spPr>
        <c:dLbl>
          <c:idx val="0"/>
          <c:layout>
            <c:manualLayout>
              <c:x val="1.2232818468666246E-2"/>
              <c:y val="-0.1779976531386661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7030154695362733E-2"/>
          <c:y val="0.11656773766444058"/>
          <c:w val="0.88054301504572219"/>
          <c:h val="0.69813995583606558"/>
        </c:manualLayout>
      </c:layout>
      <c:bar3DChart>
        <c:barDir val="col"/>
        <c:grouping val="stacked"/>
        <c:varyColors val="0"/>
        <c:ser>
          <c:idx val="0"/>
          <c:order val="0"/>
          <c:tx>
            <c:strRef>
              <c:f>'Hidden Sheet, Store'!$Q$18</c:f>
              <c:strCache>
                <c:ptCount val="1"/>
                <c:pt idx="0">
                  <c:v>Total</c:v>
                </c:pt>
              </c:strCache>
            </c:strRef>
          </c:tx>
          <c:spPr>
            <a:solidFill>
              <a:schemeClr val="accent1"/>
            </a:solidFill>
            <a:ln>
              <a:noFill/>
            </a:ln>
            <a:effectLst/>
            <a:sp3d/>
          </c:spPr>
          <c:invertIfNegative val="0"/>
          <c:dPt>
            <c:idx val="0"/>
            <c:invertIfNegative val="0"/>
            <c:bubble3D val="0"/>
            <c:spPr>
              <a:solidFill>
                <a:schemeClr val="accent6"/>
              </a:solidFill>
              <a:ln>
                <a:noFill/>
              </a:ln>
              <a:effectLst/>
              <a:sp3d/>
            </c:spPr>
            <c:extLst>
              <c:ext xmlns:c16="http://schemas.microsoft.com/office/drawing/2014/chart" uri="{C3380CC4-5D6E-409C-BE32-E72D297353CC}">
                <c16:uniqueId val="{00000008-D5BB-4BFB-B3DB-A3438C5F0049}"/>
              </c:ext>
            </c:extLst>
          </c:dPt>
          <c:dPt>
            <c:idx val="1"/>
            <c:invertIfNegative val="0"/>
            <c:bubble3D val="0"/>
            <c:spPr>
              <a:solidFill>
                <a:schemeClr val="accent4"/>
              </a:solidFill>
              <a:ln>
                <a:noFill/>
              </a:ln>
              <a:effectLst/>
              <a:sp3d/>
            </c:spPr>
            <c:extLst>
              <c:ext xmlns:c16="http://schemas.microsoft.com/office/drawing/2014/chart" uri="{C3380CC4-5D6E-409C-BE32-E72D297353CC}">
                <c16:uniqueId val="{00000009-D5BB-4BFB-B3DB-A3438C5F0049}"/>
              </c:ext>
            </c:extLst>
          </c:dPt>
          <c:dPt>
            <c:idx val="2"/>
            <c:invertIfNegative val="0"/>
            <c:bubble3D val="0"/>
            <c:spPr>
              <a:solidFill>
                <a:schemeClr val="accent5"/>
              </a:solidFill>
              <a:ln>
                <a:noFill/>
              </a:ln>
              <a:effectLst/>
              <a:sp3d/>
            </c:spPr>
            <c:extLst>
              <c:ext xmlns:c16="http://schemas.microsoft.com/office/drawing/2014/chart" uri="{C3380CC4-5D6E-409C-BE32-E72D297353CC}">
                <c16:uniqueId val="{00000001-D5BB-4BFB-B3DB-A3438C5F0049}"/>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3-D5BB-4BFB-B3DB-A3438C5F0049}"/>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5-D5BB-4BFB-B3DB-A3438C5F0049}"/>
              </c:ext>
            </c:extLst>
          </c:dPt>
          <c:dPt>
            <c:idx val="5"/>
            <c:invertIfNegative val="0"/>
            <c:bubble3D val="0"/>
            <c:spPr>
              <a:solidFill>
                <a:schemeClr val="tx1">
                  <a:lumMod val="50000"/>
                  <a:lumOff val="50000"/>
                </a:schemeClr>
              </a:solidFill>
              <a:ln>
                <a:noFill/>
              </a:ln>
              <a:effectLst/>
              <a:sp3d/>
            </c:spPr>
            <c:extLst>
              <c:ext xmlns:c16="http://schemas.microsoft.com/office/drawing/2014/chart" uri="{C3380CC4-5D6E-409C-BE32-E72D297353CC}">
                <c16:uniqueId val="{00000007-D5BB-4BFB-B3DB-A3438C5F0049}"/>
              </c:ext>
            </c:extLst>
          </c:dPt>
          <c:dLbls>
            <c:dLbl>
              <c:idx val="0"/>
              <c:layout>
                <c:manualLayout>
                  <c:x val="1.4271621546777137E-2"/>
                  <c:y val="-0.253741335325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D5BB-4BFB-B3DB-A3438C5F0049}"/>
                </c:ext>
              </c:extLst>
            </c:dLbl>
            <c:dLbl>
              <c:idx val="1"/>
              <c:layout>
                <c:manualLayout>
                  <c:x val="2.0388030781109661E-3"/>
                  <c:y val="-0.38250559504266546"/>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D5BB-4BFB-B3DB-A3438C5F0049}"/>
                </c:ext>
              </c:extLst>
            </c:dLbl>
            <c:dLbl>
              <c:idx val="2"/>
              <c:layout>
                <c:manualLayout>
                  <c:x val="8.1552123124441645E-3"/>
                  <c:y val="-0.2310182306693326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D5BB-4BFB-B3DB-A3438C5F0049}"/>
                </c:ext>
              </c:extLst>
            </c:dLbl>
            <c:dLbl>
              <c:idx val="3"/>
              <c:layout>
                <c:manualLayout>
                  <c:x val="1.4213108921261689E-2"/>
                  <c:y val="-0.39236399590364368"/>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D5BB-4BFB-B3DB-A3438C5F0049}"/>
                </c:ext>
              </c:extLst>
            </c:dLbl>
            <c:dLbl>
              <c:idx val="4"/>
              <c:layout>
                <c:manualLayout>
                  <c:x val="2.0388030781110411E-3"/>
                  <c:y val="-0.3711440427146655"/>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D5BB-4BFB-B3DB-A3438C5F0049}"/>
                </c:ext>
              </c:extLst>
            </c:dLbl>
            <c:dLbl>
              <c:idx val="5"/>
              <c:layout>
                <c:manualLayout>
                  <c:x val="1.2232818468666246E-2"/>
                  <c:y val="-0.17799765313866611"/>
                </c:manualLayout>
              </c:layout>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D5BB-4BFB-B3DB-A3438C5F0049}"/>
                </c:ext>
              </c:extLst>
            </c:dLbl>
            <c:spPr>
              <a:noFill/>
              <a:ln>
                <a:noFill/>
              </a:ln>
              <a:effectLst/>
            </c:spPr>
            <c:txPr>
              <a:bodyPr rot="0" spcFirstLastPara="1" vertOverflow="clip" horzOverflow="clip" vert="horz" wrap="square" lIns="36576" tIns="18288" rIns="36576" bIns="18288"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'Hidden Sheet, Store'!$P$19:$P$25</c:f>
              <c:strCache>
                <c:ptCount val="6"/>
                <c:pt idx="0">
                  <c:v>Birth - 4 months</c:v>
                </c:pt>
                <c:pt idx="1">
                  <c:v>4-8 months</c:v>
                </c:pt>
                <c:pt idx="2">
                  <c:v>8-12 months</c:v>
                </c:pt>
                <c:pt idx="3">
                  <c:v>1-2 years</c:v>
                </c:pt>
                <c:pt idx="4">
                  <c:v>2-3 years</c:v>
                </c:pt>
                <c:pt idx="5">
                  <c:v>3-5 years</c:v>
                </c:pt>
              </c:strCache>
            </c:strRef>
          </c:cat>
          <c:val>
            <c:numRef>
              <c:f>'Hidden Sheet, Store'!$Q$19:$Q$25</c:f>
              <c:numCache>
                <c:formatCode>General</c:formatCode>
                <c:ptCount val="6"/>
                <c:pt idx="0">
                  <c:v>5</c:v>
                </c:pt>
                <c:pt idx="1">
                  <c:v>8</c:v>
                </c:pt>
                <c:pt idx="2">
                  <c:v>3</c:v>
                </c:pt>
                <c:pt idx="3">
                  <c:v>8</c:v>
                </c:pt>
                <c:pt idx="4">
                  <c:v>4</c:v>
                </c:pt>
                <c:pt idx="5">
                  <c:v>5</c:v>
                </c:pt>
              </c:numCache>
            </c:numRef>
          </c:val>
          <c:extLst>
            <c:ext xmlns:c16="http://schemas.microsoft.com/office/drawing/2014/chart" uri="{C3380CC4-5D6E-409C-BE32-E72D297353CC}">
              <c16:uniqueId val="{0000000A-D5BB-4BFB-B3DB-A3438C5F0049}"/>
            </c:ext>
          </c:extLst>
        </c:ser>
        <c:dLbls>
          <c:showLegendKey val="0"/>
          <c:showVal val="0"/>
          <c:showCatName val="0"/>
          <c:showSerName val="0"/>
          <c:showPercent val="0"/>
          <c:showBubbleSize val="0"/>
        </c:dLbls>
        <c:gapWidth val="140"/>
        <c:gapDepth val="105"/>
        <c:shape val="box"/>
        <c:axId val="1853126031"/>
        <c:axId val="1853126991"/>
        <c:axId val="0"/>
      </c:bar3DChart>
      <c:catAx>
        <c:axId val="1853126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853126991"/>
        <c:crosses val="autoZero"/>
        <c:auto val="0"/>
        <c:lblAlgn val="ctr"/>
        <c:lblOffset val="100"/>
        <c:noMultiLvlLbl val="0"/>
      </c:catAx>
      <c:valAx>
        <c:axId val="1853126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853126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schemeClr>
      </a:solidFill>
      <a:round/>
    </a:ln>
    <a:effectLst>
      <a:outerShdw blurRad="50800" dist="38100" dir="5400000" sx="101000" sy="101000" algn="tl" rotWithShape="0">
        <a:prstClr val="black">
          <a:alpha val="40000"/>
        </a:prstClr>
      </a:outerShdw>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[Kinder Data Collection Guide.xlsm]Hidden Sheet, Store!PivotTable8</c:name>
    <c:fmtId val="7"/>
  </c:pivotSource>
  <c:chart>
    <c:autoTitleDeleted val="1"/>
    <c:pivotFmts>
      <c:pivotFmt>
        <c:idx val="0"/>
        <c:spPr>
          <a:solidFill>
            <a:srgbClr val="FF9999"/>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9999"/>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9999"/>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9999"/>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9999"/>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9999"/>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9999"/>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9999"/>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9999"/>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9999"/>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9999"/>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9999"/>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9999"/>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9999"/>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D46F0A"/>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D46F0A"/>
          </a:solidFill>
          <a:ln>
            <a:noFill/>
          </a:ln>
          <a:effectLst/>
          <a:sp3d/>
        </c:spPr>
        <c:dLbl>
          <c:idx val="0"/>
          <c:layout>
            <c:manualLayout>
              <c:x val="2.0275390895966331E-3"/>
              <c:y val="-6.183362251912369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D46F0A"/>
          </a:solidFill>
          <a:ln>
            <a:noFill/>
          </a:ln>
          <a:effectLst/>
          <a:sp3d/>
        </c:spPr>
        <c:dLbl>
          <c:idx val="0"/>
          <c:layout>
            <c:manualLayout>
              <c:x val="1.2165234537579799E-2"/>
              <c:y val="-3.091681125956184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D46F0A"/>
          </a:solidFill>
          <a:ln>
            <a:noFill/>
          </a:ln>
          <a:effectLst/>
          <a:sp3d/>
        </c:spPr>
        <c:dLbl>
          <c:idx val="0"/>
          <c:layout>
            <c:manualLayout>
              <c:x val="4.0550781791932663E-3"/>
              <c:y val="-4.251061548189750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D46F0A"/>
          </a:solidFill>
          <a:ln>
            <a:noFill/>
          </a:ln>
          <a:effectLst/>
          <a:sp3d/>
        </c:spPr>
        <c:dLbl>
          <c:idx val="0"/>
          <c:layout>
            <c:manualLayout>
              <c:x val="0"/>
              <c:y val="-4.251061548189754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D46F0A"/>
          </a:solidFill>
          <a:ln>
            <a:noFill/>
          </a:ln>
          <a:effectLst/>
          <a:sp3d/>
        </c:spPr>
        <c:dLbl>
          <c:idx val="0"/>
          <c:layout>
            <c:manualLayout>
              <c:x val="8.1101563583865326E-3"/>
              <c:y val="-3.0916811259561916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D46F0A"/>
          </a:solidFill>
          <a:ln>
            <a:noFill/>
          </a:ln>
          <a:effectLst/>
          <a:sp3d/>
        </c:spPr>
        <c:dLbl>
          <c:idx val="0"/>
          <c:layout>
            <c:manualLayout>
              <c:x val="8.1101563583865326E-3"/>
              <c:y val="-4.251061548189753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'Hidden Sheet, Store'!$M$18</c:f>
              <c:strCache>
                <c:ptCount val="1"/>
                <c:pt idx="0">
                  <c:v>Total</c:v>
                </c:pt>
              </c:strCache>
            </c:strRef>
          </c:tx>
          <c:spPr>
            <a:solidFill>
              <a:srgbClr val="D46F0A"/>
            </a:solidFill>
            <a:ln>
              <a:noFill/>
            </a:ln>
            <a:effectLst/>
            <a:sp3d/>
          </c:spPr>
          <c:invertIfNegative val="0"/>
          <c:dPt>
            <c:idx val="0"/>
            <c:invertIfNegative val="0"/>
            <c:bubble3D val="0"/>
            <c:spPr>
              <a:solidFill>
                <a:srgbClr val="D46F0A"/>
              </a:solidFill>
              <a:ln>
                <a:noFill/>
              </a:ln>
              <a:effectLst/>
              <a:sp3d/>
            </c:spPr>
            <c:extLst>
              <c:ext xmlns:c16="http://schemas.microsoft.com/office/drawing/2014/chart" uri="{C3380CC4-5D6E-409C-BE32-E72D297353CC}">
                <c16:uniqueId val="{00000000-1F3E-4B92-95D8-BFA1382B6670}"/>
              </c:ext>
            </c:extLst>
          </c:dPt>
          <c:dPt>
            <c:idx val="1"/>
            <c:invertIfNegative val="0"/>
            <c:bubble3D val="0"/>
            <c:spPr>
              <a:solidFill>
                <a:srgbClr val="D46F0A"/>
              </a:solidFill>
              <a:ln>
                <a:noFill/>
              </a:ln>
              <a:effectLst/>
              <a:sp3d/>
            </c:spPr>
            <c:extLst>
              <c:ext xmlns:c16="http://schemas.microsoft.com/office/drawing/2014/chart" uri="{C3380CC4-5D6E-409C-BE32-E72D297353CC}">
                <c16:uniqueId val="{00000001-1F3E-4B92-95D8-BFA1382B6670}"/>
              </c:ext>
            </c:extLst>
          </c:dPt>
          <c:dPt>
            <c:idx val="2"/>
            <c:invertIfNegative val="0"/>
            <c:bubble3D val="0"/>
            <c:spPr>
              <a:solidFill>
                <a:srgbClr val="D46F0A"/>
              </a:solidFill>
              <a:ln>
                <a:noFill/>
              </a:ln>
              <a:effectLst/>
              <a:sp3d/>
            </c:spPr>
            <c:extLst>
              <c:ext xmlns:c16="http://schemas.microsoft.com/office/drawing/2014/chart" uri="{C3380CC4-5D6E-409C-BE32-E72D297353CC}">
                <c16:uniqueId val="{00000002-1F3E-4B92-95D8-BFA1382B6670}"/>
              </c:ext>
            </c:extLst>
          </c:dPt>
          <c:dPt>
            <c:idx val="3"/>
            <c:invertIfNegative val="0"/>
            <c:bubble3D val="0"/>
            <c:spPr>
              <a:solidFill>
                <a:srgbClr val="D46F0A"/>
              </a:solidFill>
              <a:ln>
                <a:noFill/>
              </a:ln>
              <a:effectLst/>
              <a:sp3d/>
            </c:spPr>
            <c:extLst>
              <c:ext xmlns:c16="http://schemas.microsoft.com/office/drawing/2014/chart" uri="{C3380CC4-5D6E-409C-BE32-E72D297353CC}">
                <c16:uniqueId val="{00000003-1F3E-4B92-95D8-BFA1382B6670}"/>
              </c:ext>
            </c:extLst>
          </c:dPt>
          <c:dPt>
            <c:idx val="4"/>
            <c:invertIfNegative val="0"/>
            <c:bubble3D val="0"/>
            <c:spPr>
              <a:solidFill>
                <a:srgbClr val="D46F0A"/>
              </a:solidFill>
              <a:ln>
                <a:noFill/>
              </a:ln>
              <a:effectLst/>
              <a:sp3d/>
            </c:spPr>
            <c:extLst>
              <c:ext xmlns:c16="http://schemas.microsoft.com/office/drawing/2014/chart" uri="{C3380CC4-5D6E-409C-BE32-E72D297353CC}">
                <c16:uniqueId val="{00000004-1F3E-4B92-95D8-BFA1382B6670}"/>
              </c:ext>
            </c:extLst>
          </c:dPt>
          <c:dPt>
            <c:idx val="5"/>
            <c:invertIfNegative val="0"/>
            <c:bubble3D val="0"/>
            <c:spPr>
              <a:solidFill>
                <a:srgbClr val="D46F0A"/>
              </a:solidFill>
              <a:ln>
                <a:noFill/>
              </a:ln>
              <a:effectLst/>
              <a:sp3d/>
            </c:spPr>
            <c:extLst>
              <c:ext xmlns:c16="http://schemas.microsoft.com/office/drawing/2014/chart" uri="{C3380CC4-5D6E-409C-BE32-E72D297353CC}">
                <c16:uniqueId val="{00000005-1F3E-4B92-95D8-BFA1382B6670}"/>
              </c:ext>
            </c:extLst>
          </c:dPt>
          <c:dLbls>
            <c:dLbl>
              <c:idx val="0"/>
              <c:layout>
                <c:manualLayout>
                  <c:x val="2.0275390895966331E-3"/>
                  <c:y val="-6.18336225191236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F3E-4B92-95D8-BFA1382B6670}"/>
                </c:ext>
              </c:extLst>
            </c:dLbl>
            <c:dLbl>
              <c:idx val="1"/>
              <c:layout>
                <c:manualLayout>
                  <c:x val="1.2165234537579799E-2"/>
                  <c:y val="-3.09168112595618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3E-4B92-95D8-BFA1382B6670}"/>
                </c:ext>
              </c:extLst>
            </c:dLbl>
            <c:dLbl>
              <c:idx val="2"/>
              <c:layout>
                <c:manualLayout>
                  <c:x val="4.0550781791932663E-3"/>
                  <c:y val="-4.2510615481897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F3E-4B92-95D8-BFA1382B6670}"/>
                </c:ext>
              </c:extLst>
            </c:dLbl>
            <c:dLbl>
              <c:idx val="3"/>
              <c:layout>
                <c:manualLayout>
                  <c:x val="0"/>
                  <c:y val="-4.2510615481897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3E-4B92-95D8-BFA1382B6670}"/>
                </c:ext>
              </c:extLst>
            </c:dLbl>
            <c:dLbl>
              <c:idx val="4"/>
              <c:layout>
                <c:manualLayout>
                  <c:x val="8.1101563583865326E-3"/>
                  <c:y val="-3.0916811259561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F3E-4B92-95D8-BFA1382B6670}"/>
                </c:ext>
              </c:extLst>
            </c:dLbl>
            <c:dLbl>
              <c:idx val="5"/>
              <c:layout>
                <c:manualLayout>
                  <c:x val="8.1101563583865326E-3"/>
                  <c:y val="-4.25106154818975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F3E-4B92-95D8-BFA1382B6670}"/>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'Hidden Sheet, Store'!$L$19:$L$25</c:f>
              <c:strCache>
                <c:ptCount val="6"/>
                <c:pt idx="0">
                  <c:v>Cognitive</c:v>
                </c:pt>
                <c:pt idx="1">
                  <c:v>Emotional</c:v>
                </c:pt>
                <c:pt idx="2">
                  <c:v>Language</c:v>
                </c:pt>
                <c:pt idx="3">
                  <c:v>Physical</c:v>
                </c:pt>
                <c:pt idx="4">
                  <c:v>Social</c:v>
                </c:pt>
                <c:pt idx="5">
                  <c:v>Socio/Emotional</c:v>
                </c:pt>
              </c:strCache>
            </c:strRef>
          </c:cat>
          <c:val>
            <c:numRef>
              <c:f>'Hidden Sheet, Store'!$M$19:$M$25</c:f>
              <c:numCache>
                <c:formatCode>General</c:formatCode>
                <c:ptCount val="6"/>
                <c:pt idx="0">
                  <c:v>6</c:v>
                </c:pt>
                <c:pt idx="1">
                  <c:v>5</c:v>
                </c:pt>
                <c:pt idx="2">
                  <c:v>6</c:v>
                </c:pt>
                <c:pt idx="3">
                  <c:v>8</c:v>
                </c:pt>
                <c:pt idx="4">
                  <c:v>3</c:v>
                </c:pt>
                <c:pt idx="5">
                  <c:v>5</c:v>
                </c:pt>
              </c:numCache>
            </c:numRef>
          </c:val>
          <c:extLst>
            <c:ext xmlns:c16="http://schemas.microsoft.com/office/drawing/2014/chart" uri="{C3380CC4-5D6E-409C-BE32-E72D297353CC}">
              <c16:uniqueId val="{00000006-1F3E-4B92-95D8-BFA1382B6670}"/>
            </c:ext>
          </c:extLst>
        </c:ser>
        <c:dLbls>
          <c:showLegendKey val="0"/>
          <c:showVal val="1"/>
          <c:showCatName val="0"/>
          <c:showSerName val="0"/>
          <c:showPercent val="0"/>
          <c:showBubbleSize val="0"/>
        </c:dLbls>
        <c:gapWidth val="150"/>
        <c:shape val="box"/>
        <c:axId val="1853124591"/>
        <c:axId val="1853127471"/>
        <c:axId val="0"/>
      </c:bar3DChart>
      <c:catAx>
        <c:axId val="18531245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853127471"/>
        <c:crosses val="autoZero"/>
        <c:auto val="1"/>
        <c:lblAlgn val="ctr"/>
        <c:lblOffset val="100"/>
        <c:noMultiLvlLbl val="0"/>
      </c:catAx>
      <c:valAx>
        <c:axId val="1853127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124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a:outerShdw blurRad="50800" dist="38100" dir="2700000" sx="101000" sy="101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38100</xdr:rowOff>
    </xdr:from>
    <xdr:to>
      <xdr:col>24</xdr:col>
      <xdr:colOff>133350</xdr:colOff>
      <xdr:row>63</xdr:row>
      <xdr:rowOff>95250</xdr:rowOff>
    </xdr:to>
    <xdr:sp macro="" textlink="">
      <xdr:nvSpPr>
        <xdr:cNvPr id="8" name="Rectangle 7">
          <a:extLst>
            <a:ext uri="{FF2B5EF4-FFF2-40B4-BE49-F238E27FC236}">
              <a16:creationId xmlns:a16="http://schemas.microsoft.com/office/drawing/2014/main" id="{0205D257-0E65-241B-1606-898C8F284CF8}"/>
            </a:ext>
          </a:extLst>
        </xdr:cNvPr>
        <xdr:cNvSpPr/>
      </xdr:nvSpPr>
      <xdr:spPr>
        <a:xfrm>
          <a:off x="38100" y="38100"/>
          <a:ext cx="14725650" cy="120586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590550</xdr:colOff>
      <xdr:row>0</xdr:row>
      <xdr:rowOff>104775</xdr:rowOff>
    </xdr:from>
    <xdr:to>
      <xdr:col>11</xdr:col>
      <xdr:colOff>115416</xdr:colOff>
      <xdr:row>20</xdr:row>
      <xdr:rowOff>178771</xdr:rowOff>
    </xdr:to>
    <xdr:graphicFrame macro="">
      <xdr:nvGraphicFramePr>
        <xdr:cNvPr id="2" name="Chart 1">
          <a:extLst>
            <a:ext uri="{FF2B5EF4-FFF2-40B4-BE49-F238E27FC236}">
              <a16:creationId xmlns:a16="http://schemas.microsoft.com/office/drawing/2014/main" id="{4B06E8D9-A254-4CCC-8100-5E8E7DB47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228600</xdr:colOff>
      <xdr:row>0</xdr:row>
      <xdr:rowOff>114301</xdr:rowOff>
    </xdr:from>
    <xdr:to>
      <xdr:col>14</xdr:col>
      <xdr:colOff>412185</xdr:colOff>
      <xdr:row>12</xdr:row>
      <xdr:rowOff>9525</xdr:rowOff>
    </xdr:to>
    <mc:AlternateContent xmlns:mc="http://schemas.openxmlformats.org/markup-compatibility/2006" xmlns:a14="http://schemas.microsoft.com/office/drawing/2010/main">
      <mc:Choice Requires="a14">
        <xdr:graphicFrame macro="">
          <xdr:nvGraphicFramePr>
            <xdr:cNvPr id="3" name="Age Group 1">
              <a:extLst>
                <a:ext uri="{FF2B5EF4-FFF2-40B4-BE49-F238E27FC236}">
                  <a16:creationId xmlns:a16="http://schemas.microsoft.com/office/drawing/2014/main" id="{E82D38EA-65C5-40AD-B1AC-5BE3B863246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6934200" y="114301"/>
              <a:ext cx="2012385" cy="2181224"/>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22</xdr:row>
      <xdr:rowOff>161925</xdr:rowOff>
    </xdr:from>
    <xdr:to>
      <xdr:col>11</xdr:col>
      <xdr:colOff>95045</xdr:colOff>
      <xdr:row>40</xdr:row>
      <xdr:rowOff>86340</xdr:rowOff>
    </xdr:to>
    <xdr:graphicFrame macro="">
      <xdr:nvGraphicFramePr>
        <xdr:cNvPr id="7" name="Chart 6">
          <a:extLst>
            <a:ext uri="{FF2B5EF4-FFF2-40B4-BE49-F238E27FC236}">
              <a16:creationId xmlns:a16="http://schemas.microsoft.com/office/drawing/2014/main" id="{B6975BF5-2338-4CD4-8293-92C40526D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13</xdr:row>
      <xdr:rowOff>181429</xdr:rowOff>
    </xdr:from>
    <xdr:to>
      <xdr:col>23</xdr:col>
      <xdr:colOff>147411</xdr:colOff>
      <xdr:row>40</xdr:row>
      <xdr:rowOff>104888</xdr:rowOff>
    </xdr:to>
    <xdr:graphicFrame macro="">
      <xdr:nvGraphicFramePr>
        <xdr:cNvPr id="9" name="Chart 8">
          <a:extLst>
            <a:ext uri="{FF2B5EF4-FFF2-40B4-BE49-F238E27FC236}">
              <a16:creationId xmlns:a16="http://schemas.microsoft.com/office/drawing/2014/main" id="{44E382FE-8A9A-4685-BD3C-B3BA669E0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UHAMMAD KHAN" refreshedDate="45888.571148379633" createdVersion="8" refreshedVersion="8" minRefreshableVersion="3" recordCount="33" xr:uid="{666DB9D6-6965-4CF7-A5FF-698CC483A288}">
  <cacheSource type="worksheet">
    <worksheetSource name="DEV_MILESTONES"/>
  </cacheSource>
  <cacheFields count="9">
    <cacheField name="S.No" numFmtId="0">
      <sharedItems containsSemiMixedTypes="0" containsString="0" containsNumber="1" containsInteger="1" minValue="1" maxValue="33"/>
    </cacheField>
    <cacheField name="Children's name" numFmtId="0">
      <sharedItems/>
    </cacheField>
    <cacheField name="Age Group" numFmtId="0">
      <sharedItems containsBlank="1" count="7">
        <s v="4-8 months"/>
        <s v="1-2 years"/>
        <s v="3-5 years"/>
        <s v="2-3 years"/>
        <s v="8-12 months"/>
        <s v="Birth - 4 months"/>
        <m u="1"/>
      </sharedItems>
    </cacheField>
    <cacheField name="Domain Area" numFmtId="0">
      <sharedItems containsBlank="1" count="7">
        <s v="Physical"/>
        <s v="Cognitive"/>
        <s v="Emotional"/>
        <s v="Socio/Emotional"/>
        <s v="Language"/>
        <s v="Social"/>
        <m u="1"/>
      </sharedItems>
    </cacheField>
    <cacheField name="Concerning Observation" numFmtId="0">
      <sharedItems containsBlank="1"/>
    </cacheField>
    <cacheField name="Date Observed" numFmtId="0">
      <sharedItems containsNonDate="0" containsDate="1" containsString="0" containsBlank="1" minDate="2025-02-22T00:00:00" maxDate="2025-02-23T00:00:00"/>
    </cacheField>
    <cacheField name="Strategy Implemented" numFmtId="0">
      <sharedItems containsNonDate="0" containsString="0" containsBlank="1"/>
    </cacheField>
    <cacheField name="Notes" numFmtId="0">
      <sharedItems containsNonDate="0" containsString="0" containsBlank="1"/>
    </cacheField>
    <cacheField name="Updates" numFmtId="0">
      <sharedItems containsNonDate="0" containsString="0" containsBlank="1"/>
    </cacheField>
  </cacheFields>
  <extLst>
    <ext xmlns:x14="http://schemas.microsoft.com/office/spreadsheetml/2009/9/main" uri="{725AE2AE-9491-48be-B2B4-4EB974FC3084}">
      <x14:pivotCacheDefinition pivotCacheId="20956109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n v="1"/>
    <s v="Student1"/>
    <x v="0"/>
    <x v="0"/>
    <s v="Inability to lift head during tammy time. Xxxxxxxxxxxxxxxxxxxxxxxxxxxxxxxxxxx"/>
    <d v="2025-02-22T00:00:00"/>
    <m/>
    <m/>
    <m/>
  </r>
  <r>
    <n v="2"/>
    <s v="Student2"/>
    <x v="1"/>
    <x v="1"/>
    <m/>
    <m/>
    <m/>
    <m/>
    <m/>
  </r>
  <r>
    <n v="3"/>
    <s v="Student3"/>
    <x v="1"/>
    <x v="2"/>
    <m/>
    <m/>
    <m/>
    <m/>
    <m/>
  </r>
  <r>
    <n v="4"/>
    <s v="Student4"/>
    <x v="2"/>
    <x v="3"/>
    <m/>
    <m/>
    <m/>
    <m/>
    <m/>
  </r>
  <r>
    <n v="5"/>
    <s v="Student5"/>
    <x v="0"/>
    <x v="2"/>
    <m/>
    <m/>
    <m/>
    <m/>
    <m/>
  </r>
  <r>
    <n v="6"/>
    <s v="Student6"/>
    <x v="3"/>
    <x v="4"/>
    <m/>
    <m/>
    <m/>
    <m/>
    <m/>
  </r>
  <r>
    <n v="7"/>
    <s v="Student7"/>
    <x v="0"/>
    <x v="2"/>
    <m/>
    <m/>
    <m/>
    <m/>
    <m/>
  </r>
  <r>
    <n v="8"/>
    <s v="Student8"/>
    <x v="4"/>
    <x v="1"/>
    <m/>
    <m/>
    <m/>
    <m/>
    <m/>
  </r>
  <r>
    <n v="9"/>
    <s v="Student9"/>
    <x v="1"/>
    <x v="1"/>
    <m/>
    <m/>
    <m/>
    <m/>
    <m/>
  </r>
  <r>
    <n v="10"/>
    <s v="Student10"/>
    <x v="0"/>
    <x v="5"/>
    <m/>
    <m/>
    <m/>
    <m/>
    <m/>
  </r>
  <r>
    <n v="11"/>
    <s v="Student11"/>
    <x v="5"/>
    <x v="5"/>
    <m/>
    <m/>
    <m/>
    <m/>
    <m/>
  </r>
  <r>
    <n v="12"/>
    <s v="Student12"/>
    <x v="0"/>
    <x v="1"/>
    <m/>
    <m/>
    <m/>
    <m/>
    <m/>
  </r>
  <r>
    <n v="13"/>
    <s v="Student13"/>
    <x v="1"/>
    <x v="2"/>
    <m/>
    <m/>
    <m/>
    <m/>
    <m/>
  </r>
  <r>
    <n v="14"/>
    <s v="Student14"/>
    <x v="2"/>
    <x v="2"/>
    <m/>
    <m/>
    <m/>
    <m/>
    <m/>
  </r>
  <r>
    <n v="15"/>
    <s v="Student15"/>
    <x v="1"/>
    <x v="5"/>
    <m/>
    <m/>
    <m/>
    <m/>
    <m/>
  </r>
  <r>
    <n v="16"/>
    <s v="Student16"/>
    <x v="1"/>
    <x v="1"/>
    <m/>
    <m/>
    <m/>
    <m/>
    <m/>
  </r>
  <r>
    <n v="17"/>
    <s v="Student17"/>
    <x v="2"/>
    <x v="4"/>
    <m/>
    <m/>
    <m/>
    <m/>
    <m/>
  </r>
  <r>
    <n v="18"/>
    <s v="Student18"/>
    <x v="1"/>
    <x v="1"/>
    <m/>
    <m/>
    <m/>
    <m/>
    <m/>
  </r>
  <r>
    <n v="19"/>
    <s v="Student19"/>
    <x v="3"/>
    <x v="3"/>
    <m/>
    <m/>
    <m/>
    <m/>
    <m/>
  </r>
  <r>
    <n v="20"/>
    <s v="Student20"/>
    <x v="2"/>
    <x v="4"/>
    <m/>
    <m/>
    <m/>
    <m/>
    <m/>
  </r>
  <r>
    <n v="21"/>
    <s v="Student21"/>
    <x v="0"/>
    <x v="4"/>
    <m/>
    <m/>
    <m/>
    <m/>
    <m/>
  </r>
  <r>
    <n v="22"/>
    <s v="Student22"/>
    <x v="0"/>
    <x v="0"/>
    <m/>
    <m/>
    <m/>
    <m/>
    <m/>
  </r>
  <r>
    <n v="23"/>
    <s v="Student23"/>
    <x v="5"/>
    <x v="0"/>
    <m/>
    <m/>
    <m/>
    <m/>
    <m/>
  </r>
  <r>
    <n v="24"/>
    <s v="Student24"/>
    <x v="5"/>
    <x v="0"/>
    <m/>
    <m/>
    <m/>
    <m/>
    <m/>
  </r>
  <r>
    <n v="25"/>
    <s v="Student25"/>
    <x v="3"/>
    <x v="3"/>
    <m/>
    <m/>
    <m/>
    <m/>
    <m/>
  </r>
  <r>
    <n v="26"/>
    <s v="Student26"/>
    <x v="5"/>
    <x v="0"/>
    <m/>
    <m/>
    <m/>
    <m/>
    <m/>
  </r>
  <r>
    <n v="27"/>
    <s v="Student27"/>
    <x v="2"/>
    <x v="3"/>
    <m/>
    <m/>
    <m/>
    <m/>
    <m/>
  </r>
  <r>
    <n v="28"/>
    <s v="Student28"/>
    <x v="3"/>
    <x v="3"/>
    <m/>
    <m/>
    <m/>
    <m/>
    <m/>
  </r>
  <r>
    <n v="29"/>
    <s v="Student29"/>
    <x v="4"/>
    <x v="4"/>
    <m/>
    <m/>
    <m/>
    <m/>
    <m/>
  </r>
  <r>
    <n v="30"/>
    <s v="Student30"/>
    <x v="5"/>
    <x v="0"/>
    <m/>
    <m/>
    <m/>
    <m/>
    <m/>
  </r>
  <r>
    <n v="31"/>
    <s v="Student31"/>
    <x v="1"/>
    <x v="0"/>
    <m/>
    <m/>
    <m/>
    <m/>
    <m/>
  </r>
  <r>
    <n v="32"/>
    <s v="Student32"/>
    <x v="4"/>
    <x v="4"/>
    <m/>
    <m/>
    <m/>
    <m/>
    <m/>
  </r>
  <r>
    <n v="33"/>
    <s v="Student33"/>
    <x v="0"/>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86D0B6-A26D-4A4F-95AE-6817D4CF8EA1}" name="PivotTable1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Dev Domain">
  <location ref="P18:Q25" firstHeaderRow="1" firstDataRow="1" firstDataCol="1"/>
  <pivotFields count="9">
    <pivotField dataField="1" showAll="0"/>
    <pivotField showAll="0"/>
    <pivotField axis="axisRow" showAll="0">
      <items count="8">
        <item x="5"/>
        <item x="0"/>
        <item x="4"/>
        <item x="1"/>
        <item x="3"/>
        <item x="2"/>
        <item m="1" x="6"/>
        <item t="default"/>
      </items>
    </pivotField>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Total Cases" fld="0" subtotal="count" baseField="2" baseItem="2"/>
  </dataFields>
  <chartFormats count="15">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 count="1" selected="0">
            <x v="4"/>
          </reference>
        </references>
      </pivotArea>
    </chartFormat>
    <chartFormat chart="5" format="2">
      <pivotArea type="data" outline="0" fieldPosition="0">
        <references count="2">
          <reference field="4294967294" count="1" selected="0">
            <x v="0"/>
          </reference>
          <reference field="2" count="1" selected="0">
            <x v="3"/>
          </reference>
        </references>
      </pivotArea>
    </chartFormat>
    <chartFormat chart="5" format="3">
      <pivotArea type="data" outline="0" fieldPosition="0">
        <references count="2">
          <reference field="4294967294" count="1" selected="0">
            <x v="0"/>
          </reference>
          <reference field="2" count="1" selected="0">
            <x v="2"/>
          </reference>
        </references>
      </pivotArea>
    </chartFormat>
    <chartFormat chart="5" format="4">
      <pivotArea type="data" outline="0" fieldPosition="0">
        <references count="2">
          <reference field="4294967294" count="1" selected="0">
            <x v="0"/>
          </reference>
          <reference field="2" count="1" selected="0">
            <x v="1"/>
          </reference>
        </references>
      </pivotArea>
    </chartFormat>
    <chartFormat chart="5" format="5">
      <pivotArea type="data" outline="0" fieldPosition="0">
        <references count="2">
          <reference field="4294967294" count="1" selected="0">
            <x v="0"/>
          </reference>
          <reference field="2" count="1" selected="0">
            <x v="0"/>
          </reference>
        </references>
      </pivotArea>
    </chartFormat>
    <chartFormat chart="5" format="6">
      <pivotArea type="data" outline="0" fieldPosition="0">
        <references count="2">
          <reference field="4294967294" count="1" selected="0">
            <x v="0"/>
          </reference>
          <reference field="2" count="1" selected="0">
            <x v="5"/>
          </reference>
        </references>
      </pivotArea>
    </chartFormat>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2" count="1" selected="0">
            <x v="0"/>
          </reference>
        </references>
      </pivotArea>
    </chartFormat>
    <chartFormat chart="12" format="16">
      <pivotArea type="data" outline="0" fieldPosition="0">
        <references count="2">
          <reference field="4294967294" count="1" selected="0">
            <x v="0"/>
          </reference>
          <reference field="2" count="1" selected="0">
            <x v="1"/>
          </reference>
        </references>
      </pivotArea>
    </chartFormat>
    <chartFormat chart="12" format="17">
      <pivotArea type="data" outline="0" fieldPosition="0">
        <references count="2">
          <reference field="4294967294" count="1" selected="0">
            <x v="0"/>
          </reference>
          <reference field="2" count="1" selected="0">
            <x v="2"/>
          </reference>
        </references>
      </pivotArea>
    </chartFormat>
    <chartFormat chart="12" format="18">
      <pivotArea type="data" outline="0" fieldPosition="0">
        <references count="2">
          <reference field="4294967294" count="1" selected="0">
            <x v="0"/>
          </reference>
          <reference field="2" count="1" selected="0">
            <x v="3"/>
          </reference>
        </references>
      </pivotArea>
    </chartFormat>
    <chartFormat chart="12" format="19">
      <pivotArea type="data" outline="0" fieldPosition="0">
        <references count="2">
          <reference field="4294967294" count="1" selected="0">
            <x v="0"/>
          </reference>
          <reference field="2" count="1" selected="0">
            <x v="4"/>
          </reference>
        </references>
      </pivotArea>
    </chartFormat>
    <chartFormat chart="12" format="20">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D9BCF9-4B26-4BC1-B0D9-AC0784646872}" name="PivotTable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Dev Domain">
  <location ref="L18:M25" firstHeaderRow="1" firstDataRow="1" firstDataCol="1"/>
  <pivotFields count="9">
    <pivotField dataField="1" showAll="0"/>
    <pivotField showAll="0"/>
    <pivotField showAll="0"/>
    <pivotField axis="axisRow" showAll="0">
      <items count="8">
        <item x="1"/>
        <item x="2"/>
        <item x="4"/>
        <item x="0"/>
        <item x="5"/>
        <item x="3"/>
        <item m="1" x="6"/>
        <item t="default"/>
      </items>
    </pivotField>
    <pivotField showAll="0"/>
    <pivotField showAll="0"/>
    <pivotField showAll="0"/>
    <pivotField showAll="0"/>
    <pivotField showAll="0"/>
  </pivotFields>
  <rowFields count="1">
    <field x="3"/>
  </rowFields>
  <rowItems count="7">
    <i>
      <x/>
    </i>
    <i>
      <x v="1"/>
    </i>
    <i>
      <x v="2"/>
    </i>
    <i>
      <x v="3"/>
    </i>
    <i>
      <x v="4"/>
    </i>
    <i>
      <x v="5"/>
    </i>
    <i t="grand">
      <x/>
    </i>
  </rowItems>
  <colItems count="1">
    <i/>
  </colItems>
  <dataFields count="1">
    <dataField name="Total Cases" fld="0" subtotal="count" baseField="2" baseItem="2"/>
  </dataFields>
  <chartFormats count="2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3"/>
          </reference>
        </references>
      </pivotArea>
    </chartFormat>
    <chartFormat chart="0" format="2">
      <pivotArea type="data" outline="0" fieldPosition="0">
        <references count="2">
          <reference field="4294967294" count="1" selected="0">
            <x v="0"/>
          </reference>
          <reference field="3" count="1" selected="0">
            <x v="5"/>
          </reference>
        </references>
      </pivotArea>
    </chartFormat>
    <chartFormat chart="0" format="3">
      <pivotArea type="data" outline="0" fieldPosition="0">
        <references count="2">
          <reference field="4294967294" count="1" selected="0">
            <x v="0"/>
          </reference>
          <reference field="3" count="1" selected="0">
            <x v="4"/>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 chart="0" format="5">
      <pivotArea type="data" outline="0" fieldPosition="0">
        <references count="2">
          <reference field="4294967294" count="1" selected="0">
            <x v="0"/>
          </reference>
          <reference field="3" count="1" selected="0">
            <x v="1"/>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3" count="1" selected="0">
            <x v="0"/>
          </reference>
        </references>
      </pivotArea>
    </chartFormat>
    <chartFormat chart="5" format="9">
      <pivotArea type="data" outline="0" fieldPosition="0">
        <references count="2">
          <reference field="4294967294" count="1" selected="0">
            <x v="0"/>
          </reference>
          <reference field="3" count="1" selected="0">
            <x v="1"/>
          </reference>
        </references>
      </pivotArea>
    </chartFormat>
    <chartFormat chart="5" format="10">
      <pivotArea type="data" outline="0" fieldPosition="0">
        <references count="2">
          <reference field="4294967294" count="1" selected="0">
            <x v="0"/>
          </reference>
          <reference field="3" count="1" selected="0">
            <x v="2"/>
          </reference>
        </references>
      </pivotArea>
    </chartFormat>
    <chartFormat chart="5" format="11">
      <pivotArea type="data" outline="0" fieldPosition="0">
        <references count="2">
          <reference field="4294967294" count="1" selected="0">
            <x v="0"/>
          </reference>
          <reference field="3" count="1" selected="0">
            <x v="3"/>
          </reference>
        </references>
      </pivotArea>
    </chartFormat>
    <chartFormat chart="5" format="12">
      <pivotArea type="data" outline="0" fieldPosition="0">
        <references count="2">
          <reference field="4294967294" count="1" selected="0">
            <x v="0"/>
          </reference>
          <reference field="3" count="1" selected="0">
            <x v="4"/>
          </reference>
        </references>
      </pivotArea>
    </chartFormat>
    <chartFormat chart="5" format="13">
      <pivotArea type="data" outline="0" fieldPosition="0">
        <references count="2">
          <reference field="4294967294" count="1" selected="0">
            <x v="0"/>
          </reference>
          <reference field="3" count="1" selected="0">
            <x v="5"/>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3" count="1" selected="0">
            <x v="0"/>
          </reference>
        </references>
      </pivotArea>
    </chartFormat>
    <chartFormat chart="6" format="16">
      <pivotArea type="data" outline="0" fieldPosition="0">
        <references count="2">
          <reference field="4294967294" count="1" selected="0">
            <x v="0"/>
          </reference>
          <reference field="3" count="1" selected="0">
            <x v="1"/>
          </reference>
        </references>
      </pivotArea>
    </chartFormat>
    <chartFormat chart="6" format="17">
      <pivotArea type="data" outline="0" fieldPosition="0">
        <references count="2">
          <reference field="4294967294" count="1" selected="0">
            <x v="0"/>
          </reference>
          <reference field="3" count="1" selected="0">
            <x v="2"/>
          </reference>
        </references>
      </pivotArea>
    </chartFormat>
    <chartFormat chart="6" format="18">
      <pivotArea type="data" outline="0" fieldPosition="0">
        <references count="2">
          <reference field="4294967294" count="1" selected="0">
            <x v="0"/>
          </reference>
          <reference field="3" count="1" selected="0">
            <x v="3"/>
          </reference>
        </references>
      </pivotArea>
    </chartFormat>
    <chartFormat chart="6" format="19">
      <pivotArea type="data" outline="0" fieldPosition="0">
        <references count="2">
          <reference field="4294967294" count="1" selected="0">
            <x v="0"/>
          </reference>
          <reference field="3" count="1" selected="0">
            <x v="4"/>
          </reference>
        </references>
      </pivotArea>
    </chartFormat>
    <chartFormat chart="6" format="20">
      <pivotArea type="data" outline="0" fieldPosition="0">
        <references count="2">
          <reference field="4294967294" count="1" selected="0">
            <x v="0"/>
          </reference>
          <reference field="3" count="1" selected="0">
            <x v="5"/>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3" count="1" selected="0">
            <x v="0"/>
          </reference>
        </references>
      </pivotArea>
    </chartFormat>
    <chartFormat chart="7" format="16">
      <pivotArea type="data" outline="0" fieldPosition="0">
        <references count="2">
          <reference field="4294967294" count="1" selected="0">
            <x v="0"/>
          </reference>
          <reference field="3" count="1" selected="0">
            <x v="1"/>
          </reference>
        </references>
      </pivotArea>
    </chartFormat>
    <chartFormat chart="7" format="17">
      <pivotArea type="data" outline="0" fieldPosition="0">
        <references count="2">
          <reference field="4294967294" count="1" selected="0">
            <x v="0"/>
          </reference>
          <reference field="3" count="1" selected="0">
            <x v="2"/>
          </reference>
        </references>
      </pivotArea>
    </chartFormat>
    <chartFormat chart="7" format="18">
      <pivotArea type="data" outline="0" fieldPosition="0">
        <references count="2">
          <reference field="4294967294" count="1" selected="0">
            <x v="0"/>
          </reference>
          <reference field="3" count="1" selected="0">
            <x v="3"/>
          </reference>
        </references>
      </pivotArea>
    </chartFormat>
    <chartFormat chart="7" format="19">
      <pivotArea type="data" outline="0" fieldPosition="0">
        <references count="2">
          <reference field="4294967294" count="1" selected="0">
            <x v="0"/>
          </reference>
          <reference field="3" count="1" selected="0">
            <x v="4"/>
          </reference>
        </references>
      </pivotArea>
    </chartFormat>
    <chartFormat chart="7" format="20">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4F21D6-9E89-4E6D-A7EB-3828BD56D3E0}"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Dev Domain">
  <location ref="L2:S10" firstHeaderRow="1" firstDataRow="2" firstDataCol="1"/>
  <pivotFields count="9">
    <pivotField dataField="1" showAll="0"/>
    <pivotField showAll="0"/>
    <pivotField axis="axisCol" showAll="0">
      <items count="8">
        <item x="5"/>
        <item x="0"/>
        <item x="4"/>
        <item x="1"/>
        <item x="3"/>
        <item x="2"/>
        <item h="1" m="1" x="6"/>
        <item t="default"/>
      </items>
    </pivotField>
    <pivotField axis="axisRow" showAll="0">
      <items count="8">
        <item x="1"/>
        <item x="2"/>
        <item x="4"/>
        <item x="0"/>
        <item x="5"/>
        <item x="3"/>
        <item m="1" x="6"/>
        <item t="default"/>
      </items>
    </pivotField>
    <pivotField showAll="0"/>
    <pivotField showAll="0"/>
    <pivotField showAll="0"/>
    <pivotField showAll="0"/>
    <pivotField showAll="0"/>
  </pivotFields>
  <rowFields count="1">
    <field x="3"/>
  </rowFields>
  <rowItems count="7">
    <i>
      <x/>
    </i>
    <i>
      <x v="1"/>
    </i>
    <i>
      <x v="2"/>
    </i>
    <i>
      <x v="3"/>
    </i>
    <i>
      <x v="4"/>
    </i>
    <i>
      <x v="5"/>
    </i>
    <i t="grand">
      <x/>
    </i>
  </rowItems>
  <colFields count="1">
    <field x="2"/>
  </colFields>
  <colItems count="7">
    <i>
      <x/>
    </i>
    <i>
      <x v="1"/>
    </i>
    <i>
      <x v="2"/>
    </i>
    <i>
      <x v="3"/>
    </i>
    <i>
      <x v="4"/>
    </i>
    <i>
      <x v="5"/>
    </i>
    <i t="grand">
      <x/>
    </i>
  </colItems>
  <dataFields count="1">
    <dataField name="Total cases by Age" fld="0" subtotal="count" baseField="2" baseItem="2"/>
  </dataFields>
  <formats count="3">
    <format dxfId="35">
      <pivotArea outline="0" collapsedLevelsAreSubtotals="1" fieldPosition="0"/>
    </format>
    <format dxfId="36">
      <pivotArea dataOnly="0" labelOnly="1" fieldPosition="0">
        <references count="1">
          <reference field="2" count="0"/>
        </references>
      </pivotArea>
    </format>
    <format dxfId="37">
      <pivotArea dataOnly="0" labelOnly="1" grandCol="1" outline="0" fieldPosition="0"/>
    </format>
  </formats>
  <chartFormats count="2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2" count="1" selected="0">
            <x v="0"/>
          </reference>
        </references>
      </pivotArea>
    </chartFormat>
    <chartFormat chart="0" format="7" series="1">
      <pivotArea type="data" outline="0" fieldPosition="0">
        <references count="2">
          <reference field="4294967294" count="1" selected="0">
            <x v="0"/>
          </reference>
          <reference field="2" count="1" selected="0">
            <x v="1"/>
          </reference>
        </references>
      </pivotArea>
    </chartFormat>
    <chartFormat chart="0" format="8" series="1">
      <pivotArea type="data" outline="0" fieldPosition="0">
        <references count="2">
          <reference field="4294967294" count="1" selected="0">
            <x v="0"/>
          </reference>
          <reference field="2" count="1" selected="0">
            <x v="2"/>
          </reference>
        </references>
      </pivotArea>
    </chartFormat>
    <chartFormat chart="0" format="9" series="1">
      <pivotArea type="data" outline="0" fieldPosition="0">
        <references count="2">
          <reference field="4294967294" count="1" selected="0">
            <x v="0"/>
          </reference>
          <reference field="2" count="1" selected="0">
            <x v="3"/>
          </reference>
        </references>
      </pivotArea>
    </chartFormat>
    <chartFormat chart="0" format="10" series="1">
      <pivotArea type="data" outline="0" fieldPosition="0">
        <references count="2">
          <reference field="4294967294" count="1" selected="0">
            <x v="0"/>
          </reference>
          <reference field="2" count="1" selected="0">
            <x v="4"/>
          </reference>
        </references>
      </pivotArea>
    </chartFormat>
    <chartFormat chart="0" format="11" series="1">
      <pivotArea type="data" outline="0" fieldPosition="0">
        <references count="2">
          <reference field="4294967294" count="1" selected="0">
            <x v="0"/>
          </reference>
          <reference field="2" count="1" selected="0">
            <x v="5"/>
          </reference>
        </references>
      </pivotArea>
    </chartFormat>
    <chartFormat chart="0" format="13" series="1">
      <pivotArea type="data" outline="0" fieldPosition="0">
        <references count="1">
          <reference field="4294967294" count="1" selected="0">
            <x v="0"/>
          </reference>
        </references>
      </pivotArea>
    </chartFormat>
    <chartFormat chart="20" format="20" series="1">
      <pivotArea type="data" outline="0" fieldPosition="0">
        <references count="2">
          <reference field="4294967294" count="1" selected="0">
            <x v="0"/>
          </reference>
          <reference field="2" count="1" selected="0">
            <x v="0"/>
          </reference>
        </references>
      </pivotArea>
    </chartFormat>
    <chartFormat chart="20" format="21" series="1">
      <pivotArea type="data" outline="0" fieldPosition="0">
        <references count="2">
          <reference field="4294967294" count="1" selected="0">
            <x v="0"/>
          </reference>
          <reference field="2" count="1" selected="0">
            <x v="1"/>
          </reference>
        </references>
      </pivotArea>
    </chartFormat>
    <chartFormat chart="20" format="22" series="1">
      <pivotArea type="data" outline="0" fieldPosition="0">
        <references count="2">
          <reference field="4294967294" count="1" selected="0">
            <x v="0"/>
          </reference>
          <reference field="2" count="1" selected="0">
            <x v="2"/>
          </reference>
        </references>
      </pivotArea>
    </chartFormat>
    <chartFormat chart="20" format="23" series="1">
      <pivotArea type="data" outline="0" fieldPosition="0">
        <references count="2">
          <reference field="4294967294" count="1" selected="0">
            <x v="0"/>
          </reference>
          <reference field="2" count="1" selected="0">
            <x v="3"/>
          </reference>
        </references>
      </pivotArea>
    </chartFormat>
    <chartFormat chart="20" format="24" series="1">
      <pivotArea type="data" outline="0" fieldPosition="0">
        <references count="2">
          <reference field="4294967294" count="1" selected="0">
            <x v="0"/>
          </reference>
          <reference field="2" count="1" selected="0">
            <x v="4"/>
          </reference>
        </references>
      </pivotArea>
    </chartFormat>
    <chartFormat chart="20" format="25" series="1">
      <pivotArea type="data" outline="0" fieldPosition="0">
        <references count="2">
          <reference field="4294967294" count="1" selected="0">
            <x v="0"/>
          </reference>
          <reference field="2" count="1" selected="0">
            <x v="5"/>
          </reference>
        </references>
      </pivotArea>
    </chartFormat>
    <chartFormat chart="20"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DB483F4D-A9F1-45C5-AE37-63248058DF0A}" sourceName="Age Group">
  <pivotTables>
    <pivotTable tabId="4" name="PivotTable6"/>
  </pivotTables>
  <data>
    <tabular pivotCacheId="2095610920">
      <items count="7">
        <i x="1" s="1"/>
        <i x="3" s="1"/>
        <i x="2" s="1"/>
        <i x="0" s="1"/>
        <i x="4" s="1"/>
        <i x="5" s="1"/>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1" xr10:uid="{E8B84D26-A6F9-4870-B26B-51970645B51E}" cache="Slicer_Age_Group" caption="Age Group"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78FE1B-39AE-454E-9D5A-9791EB9456ED}" name="DEV_MILESTONES" displayName="DEV_MILESTONES" ref="A3:I36" totalsRowShown="0" headerRowDxfId="81" dataDxfId="80" tableBorderDxfId="79">
  <sortState xmlns:xlrd2="http://schemas.microsoft.com/office/spreadsheetml/2017/richdata2" ref="A4:G23">
    <sortCondition ref="B3:B23"/>
  </sortState>
  <tableColumns count="9">
    <tableColumn id="12" xr3:uid="{22066CD2-6E37-4AFC-B44F-3A2F651A9605}" name="S.No" dataDxfId="78">
      <calculatedColumnFormula>SUBTOTAL(3, $B$2:B2)</calculatedColumnFormula>
    </tableColumn>
    <tableColumn id="1" xr3:uid="{8AEC12B5-6E4E-4C1E-A473-EBCE4671C1CC}" name="Children's name" dataDxfId="77"/>
    <tableColumn id="7" xr3:uid="{5756543E-DBB1-4445-93B5-D58C2A5F33BC}" name="Age Group" dataDxfId="76"/>
    <tableColumn id="8" xr3:uid="{DADDE248-1254-49F3-8665-0D18CBDB27A6}" name="Domain Area" dataDxfId="75"/>
    <tableColumn id="9" xr3:uid="{B980C202-2CC4-4941-A2D0-12E83F73A316}" name="Concerning Observation" dataDxfId="74"/>
    <tableColumn id="10" xr3:uid="{E438DF94-362A-4C38-9CBA-F971EE58A0CD}" name="Date Observed" dataDxfId="73"/>
    <tableColumn id="11" xr3:uid="{597A9802-6422-412B-A13E-499DA4649267}" name="Strategy Implemented" dataDxfId="72"/>
    <tableColumn id="13" xr3:uid="{AE73FEF8-D1A2-4B30-AD10-6C02B1936579}" name="Notes" dataDxfId="71"/>
    <tableColumn id="14" xr3:uid="{17740D80-EABD-4373-957E-ECFC423947E6}" name="Updates" dataDxfId="70"/>
  </tableColumns>
  <tableStyleInfo name="TableStyleLight9" showFirstColumn="0" showLastColumn="1"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C713DE-47E7-4F0B-898C-0FF98303FD6E}" name="Activity_EYLFOUTCOME" displayName="Activity_EYLFOUTCOME" ref="A3:K54" totalsRowCount="1" headerRowDxfId="69" dataDxfId="68" totalsRowDxfId="66" tableBorderDxfId="67">
  <tableColumns count="11">
    <tableColumn id="12" xr3:uid="{E6779099-4D98-4541-AA4A-298AEEDB1BC3}" name="Week No." dataDxfId="65" totalsRowDxfId="27">
      <calculatedColumnFormula>IF(B4="","", WEEKNUM(B4,2))</calculatedColumnFormula>
    </tableColumn>
    <tableColumn id="1" xr3:uid="{4B1E0AD8-5124-4507-9DD6-58D465CCCF9A}" name="DATE" totalsRowLabel="Total" dataDxfId="64" totalsRowDxfId="26"/>
    <tableColumn id="10" xr3:uid="{DBD2DFC8-CCEE-4D8A-A3FC-47586F36EFB0}" name="DAY" dataDxfId="63" totalsRowDxfId="25">
      <calculatedColumnFormula>IF(B4="","",TEXT(Activity_EYLFOUTCOME[[#This Row],[DATE]],"DDDD"))</calculatedColumnFormula>
    </tableColumn>
    <tableColumn id="2" xr3:uid="{7E3028C5-BE16-4641-845C-64A30503B035}" name="Activity No." dataDxfId="62" totalsRowDxfId="24"/>
    <tableColumn id="3" xr3:uid="{6327E48C-C758-4F49-8502-06C064F867CD}" name="Activity Type" dataDxfId="61" totalsRowDxfId="23"/>
    <tableColumn id="4" xr3:uid="{A19377C4-A271-4C69-8852-76225721C1A7}" name="Activity Name" dataDxfId="60" totalsRowDxfId="22"/>
    <tableColumn id="5" xr3:uid="{8A667689-CF44-492A-A2C2-478B9CB495A1}" name="1. Identity" totalsRowFunction="count" dataDxfId="59" totalsRowDxfId="21"/>
    <tableColumn id="6" xr3:uid="{05FE729B-051D-43DC-A6EC-46F0EF2A38AE}" name="2. Community" totalsRowFunction="count" dataDxfId="58" totalsRowDxfId="20"/>
    <tableColumn id="7" xr3:uid="{0EF6D30F-B7BD-4460-AA31-6C1E6CAB05AE}" name="3. Wellbeing" totalsRowFunction="count" dataDxfId="57" totalsRowDxfId="19"/>
    <tableColumn id="8" xr3:uid="{887DBB89-4000-439E-8ADD-7A69C958E355}" name="4. Learners" totalsRowFunction="count" dataDxfId="56" totalsRowDxfId="18"/>
    <tableColumn id="9" xr3:uid="{BBDEE998-103C-4666-9334-732B6285074C}" name="5. Communicators" totalsRowFunction="count" dataDxfId="55" totalsRowDxfId="17"/>
  </tableColumns>
  <tableStyleInfo name="TableStyleMedium1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C910116-4BDB-4AAC-902A-7E39D6FCCE38}" name="Observation" displayName="Observation" ref="A5:O40" totalsRowCount="1" headerRowDxfId="54" dataDxfId="53" totalsRowDxfId="51" tableBorderDxfId="52">
  <tableColumns count="15">
    <tableColumn id="1" xr3:uid="{15835866-69C0-414F-90F1-80CCFA756C5E}" name="S.No" totalsRowLabel="Total" dataDxfId="50" totalsRowDxfId="14"/>
    <tableColumn id="2" xr3:uid="{43DD7F17-9943-43CC-87FE-39B1FEF4ACE2}" name="Children's Name" dataDxfId="49" totalsRowDxfId="13"/>
    <tableColumn id="3" xr3:uid="{0FE1CFDD-F2A3-410E-B26D-9B0CDE71740A}" name="JAN" totalsRowFunction="count" dataDxfId="48" totalsRowDxfId="12"/>
    <tableColumn id="4" xr3:uid="{CF549C09-CDAF-4FF6-A314-B16A1662B591}" name="FEB" totalsRowFunction="count" dataDxfId="47" totalsRowDxfId="11"/>
    <tableColumn id="5" xr3:uid="{4ACA3E50-BD48-4003-955C-E4F6F764A86A}" name="MAR" totalsRowFunction="count" dataDxfId="46" totalsRowDxfId="10"/>
    <tableColumn id="6" xr3:uid="{99C33EC4-10AA-48D3-9E94-D9F976D793AD}" name="APR" totalsRowFunction="count" dataDxfId="45" totalsRowDxfId="9"/>
    <tableColumn id="7" xr3:uid="{5210E834-4DF1-42D4-991C-141687253B81}" name="MAY" totalsRowFunction="count" dataDxfId="44" totalsRowDxfId="8"/>
    <tableColumn id="8" xr3:uid="{53983410-2CD2-4E79-9A0F-D3EE3301AF70}" name="JUN" totalsRowFunction="count" dataDxfId="43" totalsRowDxfId="7"/>
    <tableColumn id="9" xr3:uid="{618D3BE5-ABA3-4308-8E71-D68C98A4D40F}" name="JUL" totalsRowFunction="count" dataDxfId="42" totalsRowDxfId="6"/>
    <tableColumn id="10" xr3:uid="{6E859337-FBE7-4995-AA6B-A40D590685DA}" name="AUG" totalsRowFunction="count" dataDxfId="41" totalsRowDxfId="5"/>
    <tableColumn id="11" xr3:uid="{FA2AADBB-0115-4070-8CC7-932539A8C6D6}" name="SEP" totalsRowFunction="count" dataDxfId="40" totalsRowDxfId="4"/>
    <tableColumn id="12" xr3:uid="{4F65E450-4AB0-428F-B433-07D9E3D37C7E}" name="OCT" totalsRowFunction="count" dataDxfId="39" totalsRowDxfId="3"/>
    <tableColumn id="13" xr3:uid="{E6E43E0C-E06D-48C5-9193-63E8A5F5481C}" name="NOV" totalsRowFunction="count" dataDxfId="38" totalsRowDxfId="2"/>
    <tableColumn id="14" xr3:uid="{EBFA163F-68DE-4D1C-8961-692F6F02C577}" name="DEC" totalsRowFunction="count" dataDxfId="16" totalsRowDxfId="1"/>
    <tableColumn id="15" xr3:uid="{132B1426-7E2C-4CEE-ACE8-0563EEC31858}" name="Total" dataDxfId="15" totalsRowDxfId="0">
      <calculatedColumnFormula>IF(COUNTIF(Observation[[#This Row],[JAN]]:Observation[[#This Row],[DEC]],"✓")&gt;0, COUNTIF(Observation[[#This Row],[JAN]]:Observation[[#This Row],[DEC]],"✓"), "")</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hyperlink" Target="https://www.acecqa.gov.au/sites/default/files/2018-02/DevelopmentalMilestonesEYLFandNQS.pdf"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acecqa.gov.au/sites/default/files/2023-01/EYLF-2022-V2.0.pdf" TargetMode="External"/><Relationship Id="rId5" Type="http://schemas.openxmlformats.org/officeDocument/2006/relationships/comments" Target="../comments2.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5F138-AEA8-48FE-8A0F-91EFBF27A8EE}">
  <sheetPr codeName="Sheet4"/>
  <dimension ref="A1:S25"/>
  <sheetViews>
    <sheetView workbookViewId="0">
      <selection activeCell="P18" sqref="P18:Q25"/>
    </sheetView>
  </sheetViews>
  <sheetFormatPr defaultRowHeight="15" x14ac:dyDescent="0.25"/>
  <cols>
    <col min="1" max="2" width="38.140625" bestFit="1" customWidth="1"/>
    <col min="8" max="8" width="15" bestFit="1" customWidth="1"/>
  </cols>
  <sheetData>
    <row r="1" spans="1:19" x14ac:dyDescent="0.25">
      <c r="A1" t="s">
        <v>5</v>
      </c>
    </row>
    <row r="2" spans="1:19" x14ac:dyDescent="0.25">
      <c r="A2" t="s">
        <v>7</v>
      </c>
      <c r="H2" t="s">
        <v>29</v>
      </c>
      <c r="I2" t="s">
        <v>30</v>
      </c>
      <c r="L2" s="89" t="s">
        <v>111</v>
      </c>
      <c r="M2" s="89" t="s">
        <v>97</v>
      </c>
    </row>
    <row r="3" spans="1:19" x14ac:dyDescent="0.25">
      <c r="A3" t="s">
        <v>13</v>
      </c>
      <c r="H3" t="s">
        <v>70</v>
      </c>
      <c r="I3" t="s">
        <v>31</v>
      </c>
      <c r="L3" s="89" t="s">
        <v>109</v>
      </c>
      <c r="M3" s="92" t="s">
        <v>70</v>
      </c>
      <c r="N3" s="92" t="s">
        <v>35</v>
      </c>
      <c r="O3" s="92" t="s">
        <v>36</v>
      </c>
      <c r="P3" s="92" t="s">
        <v>37</v>
      </c>
      <c r="Q3" s="92" t="s">
        <v>38</v>
      </c>
      <c r="R3" s="92" t="s">
        <v>71</v>
      </c>
      <c r="S3" s="92" t="s">
        <v>81</v>
      </c>
    </row>
    <row r="4" spans="1:19" x14ac:dyDescent="0.25">
      <c r="A4" t="s">
        <v>15</v>
      </c>
      <c r="H4" t="s">
        <v>35</v>
      </c>
      <c r="I4" t="s">
        <v>6</v>
      </c>
      <c r="L4" s="90" t="s">
        <v>33</v>
      </c>
      <c r="M4" s="93"/>
      <c r="N4" s="93">
        <v>1</v>
      </c>
      <c r="O4" s="93">
        <v>1</v>
      </c>
      <c r="P4" s="93">
        <v>4</v>
      </c>
      <c r="Q4" s="93"/>
      <c r="R4" s="93"/>
      <c r="S4" s="93">
        <v>6</v>
      </c>
    </row>
    <row r="5" spans="1:19" x14ac:dyDescent="0.25">
      <c r="A5" s="6" t="s">
        <v>7</v>
      </c>
      <c r="H5" t="s">
        <v>36</v>
      </c>
      <c r="I5" t="s">
        <v>32</v>
      </c>
      <c r="L5" s="90" t="s">
        <v>32</v>
      </c>
      <c r="M5" s="93"/>
      <c r="N5" s="93">
        <v>2</v>
      </c>
      <c r="O5" s="93"/>
      <c r="P5" s="93">
        <v>2</v>
      </c>
      <c r="Q5" s="93"/>
      <c r="R5" s="93">
        <v>1</v>
      </c>
      <c r="S5" s="93">
        <v>5</v>
      </c>
    </row>
    <row r="6" spans="1:19" x14ac:dyDescent="0.25">
      <c r="A6" s="6" t="s">
        <v>8</v>
      </c>
      <c r="H6" t="s">
        <v>37</v>
      </c>
      <c r="I6" t="s">
        <v>33</v>
      </c>
      <c r="L6" s="90" t="s">
        <v>34</v>
      </c>
      <c r="M6" s="93"/>
      <c r="N6" s="93">
        <v>1</v>
      </c>
      <c r="O6" s="93">
        <v>2</v>
      </c>
      <c r="P6" s="93"/>
      <c r="Q6" s="93">
        <v>1</v>
      </c>
      <c r="R6" s="93">
        <v>2</v>
      </c>
      <c r="S6" s="93">
        <v>6</v>
      </c>
    </row>
    <row r="7" spans="1:19" x14ac:dyDescent="0.25">
      <c r="A7" s="6" t="s">
        <v>9</v>
      </c>
      <c r="H7" t="s">
        <v>38</v>
      </c>
      <c r="I7" t="s">
        <v>34</v>
      </c>
      <c r="L7" s="90" t="s">
        <v>31</v>
      </c>
      <c r="M7" s="93">
        <v>4</v>
      </c>
      <c r="N7" s="93">
        <v>3</v>
      </c>
      <c r="O7" s="93"/>
      <c r="P7" s="93">
        <v>1</v>
      </c>
      <c r="Q7" s="93"/>
      <c r="R7" s="93"/>
      <c r="S7" s="93">
        <v>8</v>
      </c>
    </row>
    <row r="8" spans="1:19" x14ac:dyDescent="0.25">
      <c r="A8" s="6" t="s">
        <v>68</v>
      </c>
      <c r="H8" t="s">
        <v>71</v>
      </c>
      <c r="I8" t="s">
        <v>96</v>
      </c>
      <c r="L8" s="90" t="s">
        <v>6</v>
      </c>
      <c r="M8" s="93">
        <v>1</v>
      </c>
      <c r="N8" s="93">
        <v>1</v>
      </c>
      <c r="O8" s="93"/>
      <c r="P8" s="93">
        <v>1</v>
      </c>
      <c r="Q8" s="93"/>
      <c r="R8" s="93"/>
      <c r="S8" s="93">
        <v>3</v>
      </c>
    </row>
    <row r="9" spans="1:19" x14ac:dyDescent="0.25">
      <c r="A9" s="6" t="s">
        <v>10</v>
      </c>
      <c r="L9" s="90" t="s">
        <v>96</v>
      </c>
      <c r="M9" s="93"/>
      <c r="N9" s="93"/>
      <c r="O9" s="93"/>
      <c r="P9" s="93"/>
      <c r="Q9" s="93">
        <v>3</v>
      </c>
      <c r="R9" s="93">
        <v>2</v>
      </c>
      <c r="S9" s="93">
        <v>5</v>
      </c>
    </row>
    <row r="10" spans="1:19" x14ac:dyDescent="0.25">
      <c r="A10" s="6" t="s">
        <v>69</v>
      </c>
      <c r="L10" s="90" t="s">
        <v>81</v>
      </c>
      <c r="M10" s="93">
        <v>5</v>
      </c>
      <c r="N10" s="93">
        <v>8</v>
      </c>
      <c r="O10" s="93">
        <v>3</v>
      </c>
      <c r="P10" s="93">
        <v>8</v>
      </c>
      <c r="Q10" s="93">
        <v>4</v>
      </c>
      <c r="R10" s="93">
        <v>5</v>
      </c>
      <c r="S10" s="93">
        <v>33</v>
      </c>
    </row>
    <row r="11" spans="1:19" x14ac:dyDescent="0.25">
      <c r="A11" s="6" t="s">
        <v>11</v>
      </c>
    </row>
    <row r="12" spans="1:19" x14ac:dyDescent="0.25">
      <c r="A12" s="6" t="s">
        <v>12</v>
      </c>
    </row>
    <row r="13" spans="1:19" x14ac:dyDescent="0.25">
      <c r="A13" s="6" t="s">
        <v>13</v>
      </c>
    </row>
    <row r="14" spans="1:19" x14ac:dyDescent="0.25">
      <c r="A14" s="6" t="s">
        <v>14</v>
      </c>
    </row>
    <row r="15" spans="1:19" x14ac:dyDescent="0.25">
      <c r="A15" s="6" t="s">
        <v>15</v>
      </c>
    </row>
    <row r="16" spans="1:19" x14ac:dyDescent="0.25">
      <c r="A16" s="6" t="s">
        <v>16</v>
      </c>
    </row>
    <row r="17" spans="1:17" x14ac:dyDescent="0.25">
      <c r="A17" s="6" t="s">
        <v>17</v>
      </c>
    </row>
    <row r="18" spans="1:17" x14ac:dyDescent="0.25">
      <c r="A18" s="6" t="s">
        <v>18</v>
      </c>
      <c r="L18" s="89" t="s">
        <v>109</v>
      </c>
      <c r="M18" t="s">
        <v>110</v>
      </c>
      <c r="P18" s="89" t="s">
        <v>109</v>
      </c>
      <c r="Q18" t="s">
        <v>110</v>
      </c>
    </row>
    <row r="19" spans="1:17" x14ac:dyDescent="0.25">
      <c r="A19" s="6" t="s">
        <v>19</v>
      </c>
      <c r="L19" s="90" t="s">
        <v>33</v>
      </c>
      <c r="M19" s="91">
        <v>6</v>
      </c>
      <c r="P19" s="90" t="s">
        <v>70</v>
      </c>
      <c r="Q19" s="91">
        <v>5</v>
      </c>
    </row>
    <row r="20" spans="1:17" x14ac:dyDescent="0.25">
      <c r="A20" s="6" t="s">
        <v>20</v>
      </c>
      <c r="L20" s="90" t="s">
        <v>32</v>
      </c>
      <c r="M20" s="91">
        <v>5</v>
      </c>
      <c r="P20" s="90" t="s">
        <v>35</v>
      </c>
      <c r="Q20" s="91">
        <v>8</v>
      </c>
    </row>
    <row r="21" spans="1:17" x14ac:dyDescent="0.25">
      <c r="L21" s="90" t="s">
        <v>34</v>
      </c>
      <c r="M21" s="91">
        <v>6</v>
      </c>
      <c r="P21" s="90" t="s">
        <v>36</v>
      </c>
      <c r="Q21" s="91">
        <v>3</v>
      </c>
    </row>
    <row r="22" spans="1:17" x14ac:dyDescent="0.25">
      <c r="L22" s="90" t="s">
        <v>31</v>
      </c>
      <c r="M22" s="91">
        <v>8</v>
      </c>
      <c r="P22" s="90" t="s">
        <v>37</v>
      </c>
      <c r="Q22" s="91">
        <v>8</v>
      </c>
    </row>
    <row r="23" spans="1:17" x14ac:dyDescent="0.25">
      <c r="L23" s="90" t="s">
        <v>6</v>
      </c>
      <c r="M23" s="91">
        <v>3</v>
      </c>
      <c r="P23" s="90" t="s">
        <v>38</v>
      </c>
      <c r="Q23" s="91">
        <v>4</v>
      </c>
    </row>
    <row r="24" spans="1:17" x14ac:dyDescent="0.25">
      <c r="L24" s="90" t="s">
        <v>96</v>
      </c>
      <c r="M24" s="91">
        <v>5</v>
      </c>
      <c r="P24" s="90" t="s">
        <v>71</v>
      </c>
      <c r="Q24" s="91">
        <v>5</v>
      </c>
    </row>
    <row r="25" spans="1:17" x14ac:dyDescent="0.25">
      <c r="L25" s="90" t="s">
        <v>81</v>
      </c>
      <c r="M25" s="91">
        <v>33</v>
      </c>
      <c r="P25" s="90" t="s">
        <v>81</v>
      </c>
      <c r="Q25" s="91">
        <v>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ED326-3109-4124-8E22-0F10DA9FFF46}">
  <sheetPr codeName="Sheet2"/>
  <dimension ref="A1:K274"/>
  <sheetViews>
    <sheetView zoomScale="93" zoomScaleNormal="93" workbookViewId="0">
      <pane ySplit="3" topLeftCell="A4" activePane="bottomLeft" state="frozen"/>
      <selection pane="bottomLeft" activeCell="I5" sqref="I5"/>
    </sheetView>
  </sheetViews>
  <sheetFormatPr defaultColWidth="7.28515625" defaultRowHeight="15" x14ac:dyDescent="0.25"/>
  <cols>
    <col min="1" max="1" width="7.42578125" style="20" bestFit="1" customWidth="1"/>
    <col min="2" max="2" width="22.7109375" style="48" bestFit="1" customWidth="1"/>
    <col min="3" max="3" width="19.28515625" style="20" bestFit="1" customWidth="1"/>
    <col min="4" max="4" width="19.85546875" style="35" bestFit="1" customWidth="1"/>
    <col min="5" max="5" width="53" style="35" customWidth="1"/>
    <col min="6" max="6" width="20.85546875" style="42" bestFit="1" customWidth="1"/>
    <col min="7" max="7" width="30.140625" style="20" bestFit="1" customWidth="1"/>
    <col min="8" max="8" width="39.5703125" style="20" customWidth="1"/>
    <col min="9" max="9" width="18" style="20" customWidth="1"/>
    <col min="10" max="16384" width="7.28515625" style="20"/>
  </cols>
  <sheetData>
    <row r="1" spans="1:9" ht="27" thickBot="1" x14ac:dyDescent="0.45">
      <c r="D1" s="97" t="s">
        <v>42</v>
      </c>
      <c r="E1" s="98"/>
      <c r="F1" s="98"/>
      <c r="G1" s="99"/>
    </row>
    <row r="2" spans="1:9" ht="29.25" customHeight="1" thickBot="1" x14ac:dyDescent="0.5">
      <c r="A2" s="5" t="s">
        <v>49</v>
      </c>
      <c r="B2" s="4">
        <f ca="1">YEAR(TODAY())</f>
        <v>2025</v>
      </c>
      <c r="C2" s="94" t="s">
        <v>46</v>
      </c>
      <c r="D2" s="95"/>
      <c r="E2" s="95"/>
      <c r="F2" s="95"/>
      <c r="G2" s="96"/>
    </row>
    <row r="3" spans="1:9" s="17" customFormat="1" ht="21" x14ac:dyDescent="0.35">
      <c r="A3" s="49" t="s">
        <v>26</v>
      </c>
      <c r="B3" s="50" t="s">
        <v>3</v>
      </c>
      <c r="C3" s="49" t="s">
        <v>29</v>
      </c>
      <c r="D3" s="43" t="s">
        <v>30</v>
      </c>
      <c r="E3" s="44" t="s">
        <v>41</v>
      </c>
      <c r="F3" s="45" t="s">
        <v>39</v>
      </c>
      <c r="G3" s="43" t="s">
        <v>40</v>
      </c>
      <c r="H3" s="43" t="s">
        <v>44</v>
      </c>
      <c r="I3" s="46" t="s">
        <v>45</v>
      </c>
    </row>
    <row r="4" spans="1:9" ht="56.25" x14ac:dyDescent="0.3">
      <c r="A4" s="51">
        <f ca="1">SUBTOTAL(3, $B$2:B2)</f>
        <v>1</v>
      </c>
      <c r="B4" s="10" t="s">
        <v>73</v>
      </c>
      <c r="C4" s="9" t="s">
        <v>35</v>
      </c>
      <c r="D4" s="10" t="s">
        <v>31</v>
      </c>
      <c r="E4" s="11" t="s">
        <v>47</v>
      </c>
      <c r="F4" s="82">
        <v>45710</v>
      </c>
      <c r="G4" s="8" t="s">
        <v>112</v>
      </c>
      <c r="H4" s="1" t="s">
        <v>113</v>
      </c>
      <c r="I4" s="3" t="s">
        <v>114</v>
      </c>
    </row>
    <row r="5" spans="1:9" ht="18.75" x14ac:dyDescent="0.3">
      <c r="A5" s="51">
        <f ca="1">SUBTOTAL(3, $B$2:B3)</f>
        <v>2</v>
      </c>
      <c r="B5" s="10" t="s">
        <v>74</v>
      </c>
      <c r="C5" s="9" t="s">
        <v>37</v>
      </c>
      <c r="D5" s="9" t="s">
        <v>33</v>
      </c>
      <c r="E5" s="11"/>
      <c r="F5" s="12"/>
      <c r="G5" s="1"/>
      <c r="H5" s="1"/>
      <c r="I5" s="3"/>
    </row>
    <row r="6" spans="1:9" ht="18.75" x14ac:dyDescent="0.3">
      <c r="A6" s="51">
        <f ca="1">SUBTOTAL(3, $B$2:B4)</f>
        <v>3</v>
      </c>
      <c r="B6" s="10" t="s">
        <v>75</v>
      </c>
      <c r="C6" s="9" t="s">
        <v>37</v>
      </c>
      <c r="D6" s="10" t="s">
        <v>32</v>
      </c>
      <c r="E6" s="13"/>
      <c r="F6" s="12"/>
      <c r="G6" s="1"/>
      <c r="H6" s="1"/>
      <c r="I6" s="3"/>
    </row>
    <row r="7" spans="1:9" ht="18.75" x14ac:dyDescent="0.3">
      <c r="A7" s="51">
        <f ca="1">SUBTOTAL(3, $B$2:B5)</f>
        <v>4</v>
      </c>
      <c r="B7" s="10" t="s">
        <v>76</v>
      </c>
      <c r="C7" s="9" t="s">
        <v>71</v>
      </c>
      <c r="D7" s="10" t="s">
        <v>96</v>
      </c>
      <c r="E7" s="13"/>
      <c r="F7" s="12"/>
      <c r="G7" s="2"/>
      <c r="H7" s="1"/>
      <c r="I7" s="3"/>
    </row>
    <row r="8" spans="1:9" ht="18.75" x14ac:dyDescent="0.3">
      <c r="A8" s="51">
        <f ca="1">SUBTOTAL(3, $B$2:B6)</f>
        <v>5</v>
      </c>
      <c r="B8" s="10" t="s">
        <v>77</v>
      </c>
      <c r="C8" s="9" t="s">
        <v>35</v>
      </c>
      <c r="D8" s="10" t="s">
        <v>32</v>
      </c>
      <c r="E8" s="13"/>
      <c r="F8" s="12"/>
      <c r="G8" s="1"/>
      <c r="H8" s="1"/>
      <c r="I8" s="3"/>
    </row>
    <row r="9" spans="1:9" ht="18.75" x14ac:dyDescent="0.3">
      <c r="A9" s="51">
        <f ca="1">SUBTOTAL(3, $B$2:B7)</f>
        <v>6</v>
      </c>
      <c r="B9" s="10" t="s">
        <v>78</v>
      </c>
      <c r="C9" s="9" t="s">
        <v>38</v>
      </c>
      <c r="D9" s="10" t="s">
        <v>34</v>
      </c>
      <c r="E9" s="11"/>
      <c r="F9" s="14"/>
      <c r="G9" s="2"/>
      <c r="H9" s="1"/>
      <c r="I9" s="3"/>
    </row>
    <row r="10" spans="1:9" ht="18.75" x14ac:dyDescent="0.3">
      <c r="A10" s="51">
        <f ca="1">SUBTOTAL(3, $B$2:B8)</f>
        <v>7</v>
      </c>
      <c r="B10" s="10" t="s">
        <v>79</v>
      </c>
      <c r="C10" s="9" t="s">
        <v>35</v>
      </c>
      <c r="D10" s="10" t="s">
        <v>32</v>
      </c>
      <c r="E10" s="11"/>
      <c r="F10" s="12"/>
      <c r="G10" s="1"/>
      <c r="H10" s="1"/>
      <c r="I10" s="3"/>
    </row>
    <row r="11" spans="1:9" ht="18.75" x14ac:dyDescent="0.3">
      <c r="A11" s="51">
        <f ca="1">SUBTOTAL(3, $B$2:B9)</f>
        <v>8</v>
      </c>
      <c r="B11" s="10" t="s">
        <v>80</v>
      </c>
      <c r="C11" s="9" t="s">
        <v>36</v>
      </c>
      <c r="D11" s="9" t="s">
        <v>33</v>
      </c>
      <c r="E11" s="11"/>
      <c r="F11" s="12"/>
      <c r="G11" s="2"/>
      <c r="H11" s="1"/>
      <c r="I11" s="3"/>
    </row>
    <row r="12" spans="1:9" ht="18.75" x14ac:dyDescent="0.3">
      <c r="A12" s="51">
        <f ca="1">SUBTOTAL(3, $B$2:B10)</f>
        <v>9</v>
      </c>
      <c r="B12" s="10" t="s">
        <v>82</v>
      </c>
      <c r="C12" s="9" t="s">
        <v>37</v>
      </c>
      <c r="D12" s="10" t="s">
        <v>33</v>
      </c>
      <c r="E12" s="11"/>
      <c r="F12" s="12"/>
      <c r="G12" s="1"/>
      <c r="H12" s="1"/>
      <c r="I12" s="3"/>
    </row>
    <row r="13" spans="1:9" ht="18.75" x14ac:dyDescent="0.3">
      <c r="A13" s="51">
        <f ca="1">SUBTOTAL(3, $B$2:B11)</f>
        <v>10</v>
      </c>
      <c r="B13" s="10" t="s">
        <v>83</v>
      </c>
      <c r="C13" s="9" t="s">
        <v>35</v>
      </c>
      <c r="D13" s="10" t="s">
        <v>6</v>
      </c>
      <c r="E13" s="11"/>
      <c r="F13" s="12"/>
      <c r="G13" s="2"/>
      <c r="H13" s="1"/>
      <c r="I13" s="3"/>
    </row>
    <row r="14" spans="1:9" ht="18.75" x14ac:dyDescent="0.3">
      <c r="A14" s="51">
        <f ca="1">SUBTOTAL(3, $B$2:B12)</f>
        <v>11</v>
      </c>
      <c r="B14" s="10" t="s">
        <v>84</v>
      </c>
      <c r="C14" s="9" t="s">
        <v>70</v>
      </c>
      <c r="D14" s="9" t="s">
        <v>6</v>
      </c>
      <c r="E14" s="11"/>
      <c r="F14" s="12"/>
      <c r="G14" s="1"/>
      <c r="H14" s="1"/>
      <c r="I14" s="3"/>
    </row>
    <row r="15" spans="1:9" ht="18.75" x14ac:dyDescent="0.3">
      <c r="A15" s="51">
        <f ca="1">SUBTOTAL(3, $B$2:B13)</f>
        <v>12</v>
      </c>
      <c r="B15" s="10" t="s">
        <v>85</v>
      </c>
      <c r="C15" s="9" t="s">
        <v>35</v>
      </c>
      <c r="D15" s="10" t="s">
        <v>33</v>
      </c>
      <c r="E15" s="11"/>
      <c r="F15" s="12"/>
      <c r="G15" s="1"/>
      <c r="H15" s="1"/>
      <c r="I15" s="3"/>
    </row>
    <row r="16" spans="1:9" ht="18.75" x14ac:dyDescent="0.3">
      <c r="A16" s="51">
        <f ca="1">SUBTOTAL(3, $B$2:B14)</f>
        <v>13</v>
      </c>
      <c r="B16" s="10" t="s">
        <v>86</v>
      </c>
      <c r="C16" s="9" t="s">
        <v>37</v>
      </c>
      <c r="D16" s="9" t="s">
        <v>32</v>
      </c>
      <c r="E16" s="11"/>
      <c r="F16" s="12"/>
      <c r="G16" s="1"/>
      <c r="H16" s="1"/>
      <c r="I16" s="3"/>
    </row>
    <row r="17" spans="1:9" ht="18.75" x14ac:dyDescent="0.3">
      <c r="A17" s="51">
        <f ca="1">SUBTOTAL(3, $B$2:B15)</f>
        <v>14</v>
      </c>
      <c r="B17" s="10" t="s">
        <v>87</v>
      </c>
      <c r="C17" s="9" t="s">
        <v>71</v>
      </c>
      <c r="D17" s="10" t="s">
        <v>32</v>
      </c>
      <c r="E17" s="11"/>
      <c r="F17" s="12"/>
      <c r="G17" s="1"/>
      <c r="H17" s="1"/>
      <c r="I17" s="3"/>
    </row>
    <row r="18" spans="1:9" ht="18.75" x14ac:dyDescent="0.3">
      <c r="A18" s="51">
        <f ca="1">SUBTOTAL(3, $B$2:B16)</f>
        <v>15</v>
      </c>
      <c r="B18" s="10" t="s">
        <v>88</v>
      </c>
      <c r="C18" s="9" t="s">
        <v>37</v>
      </c>
      <c r="D18" s="10" t="s">
        <v>6</v>
      </c>
      <c r="E18" s="11"/>
      <c r="F18" s="12"/>
      <c r="G18" s="1"/>
      <c r="H18" s="1"/>
      <c r="I18" s="3"/>
    </row>
    <row r="19" spans="1:9" ht="18.75" x14ac:dyDescent="0.3">
      <c r="A19" s="51">
        <f ca="1">SUBTOTAL(3, $B$2:B17)</f>
        <v>16</v>
      </c>
      <c r="B19" s="10" t="s">
        <v>89</v>
      </c>
      <c r="C19" s="9" t="s">
        <v>37</v>
      </c>
      <c r="D19" s="10" t="s">
        <v>33</v>
      </c>
      <c r="E19" s="11"/>
      <c r="F19" s="12"/>
      <c r="G19" s="1"/>
      <c r="H19" s="1"/>
      <c r="I19" s="3"/>
    </row>
    <row r="20" spans="1:9" ht="18.75" x14ac:dyDescent="0.3">
      <c r="A20" s="51">
        <f ca="1">SUBTOTAL(3, $B$2:B18)</f>
        <v>17</v>
      </c>
      <c r="B20" s="10" t="s">
        <v>90</v>
      </c>
      <c r="C20" s="9" t="s">
        <v>71</v>
      </c>
      <c r="D20" s="10" t="s">
        <v>34</v>
      </c>
      <c r="E20" s="11"/>
      <c r="F20" s="12"/>
      <c r="G20" s="2"/>
      <c r="H20" s="1"/>
      <c r="I20" s="3"/>
    </row>
    <row r="21" spans="1:9" ht="18.75" x14ac:dyDescent="0.3">
      <c r="A21" s="51">
        <f ca="1">SUBTOTAL(3, $B$2:B19)</f>
        <v>18</v>
      </c>
      <c r="B21" s="10" t="s">
        <v>91</v>
      </c>
      <c r="C21" s="9" t="s">
        <v>37</v>
      </c>
      <c r="D21" s="10" t="s">
        <v>33</v>
      </c>
      <c r="E21" s="11"/>
      <c r="F21" s="12"/>
      <c r="G21" s="1"/>
      <c r="H21" s="1"/>
      <c r="I21" s="3"/>
    </row>
    <row r="22" spans="1:9" ht="18.75" x14ac:dyDescent="0.3">
      <c r="A22" s="51">
        <f ca="1">SUBTOTAL(3, $B$2:B20)</f>
        <v>19</v>
      </c>
      <c r="B22" s="10" t="s">
        <v>92</v>
      </c>
      <c r="C22" s="9" t="s">
        <v>38</v>
      </c>
      <c r="D22" s="9" t="s">
        <v>96</v>
      </c>
      <c r="E22" s="11"/>
      <c r="F22" s="12"/>
      <c r="G22" s="1"/>
      <c r="H22" s="1"/>
      <c r="I22" s="3"/>
    </row>
    <row r="23" spans="1:9" ht="18.75" x14ac:dyDescent="0.3">
      <c r="A23" s="51">
        <f ca="1">SUBTOTAL(3, $B$2:B21)</f>
        <v>20</v>
      </c>
      <c r="B23" s="10" t="s">
        <v>93</v>
      </c>
      <c r="C23" s="9" t="s">
        <v>71</v>
      </c>
      <c r="D23" s="10" t="s">
        <v>34</v>
      </c>
      <c r="E23" s="11"/>
      <c r="F23" s="12"/>
      <c r="G23" s="1"/>
      <c r="H23" s="1"/>
      <c r="I23" s="3"/>
    </row>
    <row r="24" spans="1:9" ht="18.75" x14ac:dyDescent="0.3">
      <c r="A24" s="51">
        <f ca="1">SUBTOTAL(3, $B$2:B22)</f>
        <v>21</v>
      </c>
      <c r="B24" s="10" t="s">
        <v>94</v>
      </c>
      <c r="C24" s="10" t="s">
        <v>35</v>
      </c>
      <c r="D24" s="15" t="s">
        <v>34</v>
      </c>
      <c r="E24" s="16"/>
      <c r="F24" s="12"/>
      <c r="G24" s="7"/>
      <c r="H24" s="1"/>
      <c r="I24" s="3"/>
    </row>
    <row r="25" spans="1:9" ht="18.75" x14ac:dyDescent="0.3">
      <c r="A25" s="52">
        <f ca="1">SUBTOTAL(3, $B$2:B23)</f>
        <v>22</v>
      </c>
      <c r="B25" s="10" t="s">
        <v>95</v>
      </c>
      <c r="C25" s="10" t="s">
        <v>35</v>
      </c>
      <c r="D25" s="10" t="s">
        <v>31</v>
      </c>
      <c r="E25" s="11"/>
      <c r="F25" s="12"/>
      <c r="G25" s="1"/>
      <c r="H25" s="1"/>
      <c r="I25" s="3"/>
    </row>
    <row r="26" spans="1:9" ht="18.75" x14ac:dyDescent="0.3">
      <c r="A26" s="52">
        <f ca="1">SUBTOTAL(3, $B$2:B24)</f>
        <v>23</v>
      </c>
      <c r="B26" s="10" t="s">
        <v>98</v>
      </c>
      <c r="C26" s="10" t="s">
        <v>70</v>
      </c>
      <c r="D26" s="10" t="s">
        <v>31</v>
      </c>
      <c r="E26" s="11"/>
      <c r="F26" s="12"/>
      <c r="G26" s="1"/>
      <c r="H26" s="1"/>
      <c r="I26" s="3"/>
    </row>
    <row r="27" spans="1:9" ht="18.75" x14ac:dyDescent="0.3">
      <c r="A27" s="52">
        <f ca="1">SUBTOTAL(3, $B$2:B25)</f>
        <v>24</v>
      </c>
      <c r="B27" s="10" t="s">
        <v>99</v>
      </c>
      <c r="C27" s="10" t="s">
        <v>70</v>
      </c>
      <c r="D27" s="10" t="s">
        <v>31</v>
      </c>
      <c r="E27" s="11"/>
      <c r="F27" s="12"/>
      <c r="G27" s="1"/>
      <c r="H27" s="1"/>
      <c r="I27" s="3"/>
    </row>
    <row r="28" spans="1:9" ht="18.75" x14ac:dyDescent="0.3">
      <c r="A28" s="52">
        <f ca="1">SUBTOTAL(3, $B$2:B26)</f>
        <v>25</v>
      </c>
      <c r="B28" s="10" t="s">
        <v>100</v>
      </c>
      <c r="C28" s="10" t="s">
        <v>38</v>
      </c>
      <c r="D28" s="10" t="s">
        <v>96</v>
      </c>
      <c r="E28" s="11"/>
      <c r="F28" s="12"/>
      <c r="G28" s="1"/>
      <c r="H28" s="1"/>
      <c r="I28" s="3"/>
    </row>
    <row r="29" spans="1:9" ht="18.75" x14ac:dyDescent="0.3">
      <c r="A29" s="52">
        <f ca="1">SUBTOTAL(3, $B$2:B27)</f>
        <v>26</v>
      </c>
      <c r="B29" s="10" t="s">
        <v>101</v>
      </c>
      <c r="C29" s="10" t="s">
        <v>70</v>
      </c>
      <c r="D29" s="10" t="s">
        <v>31</v>
      </c>
      <c r="E29" s="11"/>
      <c r="F29" s="12"/>
      <c r="G29" s="1"/>
      <c r="H29" s="1"/>
      <c r="I29" s="3"/>
    </row>
    <row r="30" spans="1:9" ht="18.75" x14ac:dyDescent="0.3">
      <c r="A30" s="52">
        <f ca="1">SUBTOTAL(3, $B$2:B28)</f>
        <v>27</v>
      </c>
      <c r="B30" s="10" t="s">
        <v>102</v>
      </c>
      <c r="C30" s="10" t="s">
        <v>71</v>
      </c>
      <c r="D30" s="10" t="s">
        <v>96</v>
      </c>
      <c r="E30" s="11"/>
      <c r="F30" s="12"/>
      <c r="G30" s="1"/>
      <c r="H30" s="1"/>
      <c r="I30" s="3"/>
    </row>
    <row r="31" spans="1:9" ht="18.75" x14ac:dyDescent="0.3">
      <c r="A31" s="52">
        <f ca="1">SUBTOTAL(3, $B$2:B29)</f>
        <v>28</v>
      </c>
      <c r="B31" s="10" t="s">
        <v>103</v>
      </c>
      <c r="C31" s="10" t="s">
        <v>38</v>
      </c>
      <c r="D31" s="10" t="s">
        <v>96</v>
      </c>
      <c r="E31" s="11"/>
      <c r="F31" s="12"/>
      <c r="G31" s="1"/>
      <c r="H31" s="1"/>
      <c r="I31" s="3"/>
    </row>
    <row r="32" spans="1:9" ht="18.75" x14ac:dyDescent="0.3">
      <c r="A32" s="52">
        <f ca="1">SUBTOTAL(3, $B$2:B30)</f>
        <v>29</v>
      </c>
      <c r="B32" s="10" t="s">
        <v>104</v>
      </c>
      <c r="C32" s="10" t="s">
        <v>36</v>
      </c>
      <c r="D32" s="10" t="s">
        <v>34</v>
      </c>
      <c r="E32" s="11"/>
      <c r="F32" s="12"/>
      <c r="G32" s="1"/>
      <c r="H32" s="1"/>
      <c r="I32" s="3"/>
    </row>
    <row r="33" spans="1:11" ht="18.75" x14ac:dyDescent="0.3">
      <c r="A33" s="52">
        <f ca="1">SUBTOTAL(3, $B$2:B31)</f>
        <v>30</v>
      </c>
      <c r="B33" s="10" t="s">
        <v>105</v>
      </c>
      <c r="C33" s="10" t="s">
        <v>70</v>
      </c>
      <c r="D33" s="10" t="s">
        <v>31</v>
      </c>
      <c r="E33" s="11"/>
      <c r="F33" s="12"/>
      <c r="G33" s="1"/>
      <c r="H33" s="1"/>
      <c r="I33" s="3"/>
    </row>
    <row r="34" spans="1:11" ht="18.75" x14ac:dyDescent="0.3">
      <c r="A34" s="52">
        <f ca="1">SUBTOTAL(3, $B$2:B32)</f>
        <v>31</v>
      </c>
      <c r="B34" s="10" t="s">
        <v>106</v>
      </c>
      <c r="C34" s="10" t="s">
        <v>37</v>
      </c>
      <c r="D34" s="10" t="s">
        <v>31</v>
      </c>
      <c r="E34" s="11"/>
      <c r="F34" s="12"/>
      <c r="G34" s="1"/>
      <c r="H34" s="1"/>
      <c r="I34" s="3"/>
    </row>
    <row r="35" spans="1:11" ht="18.75" x14ac:dyDescent="0.3">
      <c r="A35" s="52">
        <f ca="1">SUBTOTAL(3, $B$2:B33)</f>
        <v>32</v>
      </c>
      <c r="B35" s="10" t="s">
        <v>107</v>
      </c>
      <c r="C35" s="10" t="s">
        <v>36</v>
      </c>
      <c r="D35" s="10" t="s">
        <v>34</v>
      </c>
      <c r="E35" s="11"/>
      <c r="F35" s="12"/>
      <c r="G35" s="1"/>
      <c r="H35" s="1"/>
      <c r="I35" s="3"/>
    </row>
    <row r="36" spans="1:11" ht="18.75" x14ac:dyDescent="0.3">
      <c r="A36" s="52">
        <f ca="1">SUBTOTAL(3, $B$2:B34)</f>
        <v>33</v>
      </c>
      <c r="B36" s="10" t="s">
        <v>108</v>
      </c>
      <c r="C36" s="10" t="s">
        <v>35</v>
      </c>
      <c r="D36" s="10" t="s">
        <v>31</v>
      </c>
      <c r="E36" s="11"/>
      <c r="F36" s="12"/>
      <c r="G36" s="1"/>
      <c r="H36" s="1"/>
      <c r="I36" s="3"/>
    </row>
    <row r="37" spans="1:11" ht="18.75" x14ac:dyDescent="0.3">
      <c r="A37" s="36"/>
      <c r="B37" s="47"/>
      <c r="C37" s="39"/>
      <c r="D37" s="37"/>
      <c r="E37" s="37"/>
      <c r="F37" s="38"/>
      <c r="G37" s="36"/>
      <c r="H37" s="36"/>
      <c r="I37" s="36"/>
    </row>
    <row r="38" spans="1:11" ht="18.75" x14ac:dyDescent="0.3">
      <c r="A38" s="36"/>
      <c r="J38" s="35"/>
      <c r="K38" s="35"/>
    </row>
    <row r="39" spans="1:11" ht="18.75" x14ac:dyDescent="0.3">
      <c r="A39" s="36"/>
      <c r="J39" s="35"/>
      <c r="K39" s="35"/>
    </row>
    <row r="40" spans="1:11" ht="18.75" x14ac:dyDescent="0.3">
      <c r="A40" s="36"/>
      <c r="J40" s="35"/>
      <c r="K40" s="35"/>
    </row>
    <row r="41" spans="1:11" ht="18.75" x14ac:dyDescent="0.3">
      <c r="A41" s="36"/>
      <c r="J41" s="35"/>
      <c r="K41" s="35"/>
    </row>
    <row r="42" spans="1:11" ht="18.75" x14ac:dyDescent="0.3">
      <c r="A42" s="36"/>
      <c r="J42" s="35"/>
      <c r="K42" s="35"/>
    </row>
    <row r="43" spans="1:11" ht="18.75" x14ac:dyDescent="0.3">
      <c r="A43" s="36"/>
      <c r="J43" s="35"/>
      <c r="K43" s="35"/>
    </row>
    <row r="44" spans="1:11" ht="18.75" x14ac:dyDescent="0.3">
      <c r="A44" s="36"/>
      <c r="J44" s="35"/>
      <c r="K44" s="35"/>
    </row>
    <row r="45" spans="1:11" ht="18.75" x14ac:dyDescent="0.3">
      <c r="A45" s="36"/>
      <c r="B45" s="20"/>
      <c r="D45" s="20"/>
      <c r="E45" s="20"/>
      <c r="F45" s="20"/>
      <c r="J45" s="35"/>
      <c r="K45" s="35"/>
    </row>
    <row r="46" spans="1:11" ht="18.75" x14ac:dyDescent="0.3">
      <c r="A46" s="36"/>
      <c r="B46" s="20"/>
      <c r="D46" s="20"/>
      <c r="E46" s="20"/>
      <c r="F46" s="20"/>
      <c r="J46" s="35"/>
      <c r="K46" s="35"/>
    </row>
    <row r="47" spans="1:11" ht="18.75" x14ac:dyDescent="0.3">
      <c r="A47" s="36"/>
      <c r="B47" s="20"/>
      <c r="D47" s="20"/>
      <c r="E47" s="20"/>
      <c r="F47" s="20"/>
      <c r="J47" s="35"/>
      <c r="K47" s="35"/>
    </row>
    <row r="48" spans="1:11" ht="18.75" x14ac:dyDescent="0.3">
      <c r="A48" s="36"/>
      <c r="B48" s="20"/>
      <c r="D48" s="20"/>
      <c r="E48" s="20"/>
      <c r="F48" s="20"/>
    </row>
    <row r="49" spans="1:6" ht="18.75" x14ac:dyDescent="0.3">
      <c r="A49" s="36"/>
      <c r="B49" s="20"/>
      <c r="D49" s="20"/>
      <c r="E49" s="20"/>
      <c r="F49" s="20"/>
    </row>
    <row r="50" spans="1:6" ht="18.75" x14ac:dyDescent="0.3">
      <c r="A50" s="36"/>
      <c r="B50" s="20"/>
      <c r="D50" s="20"/>
      <c r="E50" s="20"/>
      <c r="F50" s="20"/>
    </row>
    <row r="51" spans="1:6" ht="18.75" x14ac:dyDescent="0.3">
      <c r="A51" s="36"/>
      <c r="B51" s="20"/>
      <c r="D51" s="20"/>
      <c r="E51" s="20"/>
      <c r="F51" s="20"/>
    </row>
    <row r="52" spans="1:6" ht="18.75" x14ac:dyDescent="0.3">
      <c r="A52" s="36"/>
      <c r="B52" s="20"/>
      <c r="D52" s="20"/>
      <c r="E52" s="20"/>
      <c r="F52" s="20"/>
    </row>
    <row r="53" spans="1:6" ht="18.75" x14ac:dyDescent="0.3">
      <c r="A53" s="36"/>
      <c r="B53" s="20"/>
      <c r="D53" s="20"/>
      <c r="E53" s="20"/>
      <c r="F53" s="20"/>
    </row>
    <row r="54" spans="1:6" ht="18.75" x14ac:dyDescent="0.3">
      <c r="A54" s="36"/>
      <c r="B54" s="20"/>
      <c r="D54" s="20"/>
      <c r="E54" s="20"/>
      <c r="F54" s="20"/>
    </row>
    <row r="55" spans="1:6" ht="18.75" x14ac:dyDescent="0.3">
      <c r="A55" s="36"/>
      <c r="B55" s="20"/>
      <c r="D55" s="20"/>
      <c r="E55" s="20"/>
      <c r="F55" s="20"/>
    </row>
    <row r="56" spans="1:6" ht="18.75" x14ac:dyDescent="0.3">
      <c r="A56" s="36"/>
      <c r="B56" s="20"/>
      <c r="D56" s="20"/>
      <c r="E56" s="20"/>
      <c r="F56" s="20"/>
    </row>
    <row r="57" spans="1:6" ht="18.75" x14ac:dyDescent="0.3">
      <c r="A57" s="36"/>
      <c r="B57" s="20"/>
      <c r="D57" s="20"/>
      <c r="E57" s="20"/>
      <c r="F57" s="20"/>
    </row>
    <row r="58" spans="1:6" ht="18.75" x14ac:dyDescent="0.3">
      <c r="A58" s="36"/>
      <c r="B58" s="20"/>
      <c r="D58" s="20"/>
      <c r="E58" s="20"/>
      <c r="F58" s="20"/>
    </row>
    <row r="59" spans="1:6" ht="18.75" x14ac:dyDescent="0.3">
      <c r="A59" s="36"/>
      <c r="B59" s="20"/>
      <c r="D59" s="20"/>
      <c r="E59" s="20"/>
      <c r="F59" s="20"/>
    </row>
    <row r="60" spans="1:6" ht="18.75" x14ac:dyDescent="0.3">
      <c r="A60" s="36"/>
      <c r="B60" s="20"/>
      <c r="D60" s="20"/>
      <c r="E60" s="20"/>
      <c r="F60" s="20"/>
    </row>
    <row r="61" spans="1:6" ht="18.75" x14ac:dyDescent="0.3">
      <c r="A61" s="36"/>
      <c r="B61" s="20"/>
      <c r="D61" s="20"/>
      <c r="E61" s="20"/>
      <c r="F61" s="20"/>
    </row>
    <row r="62" spans="1:6" ht="18.75" x14ac:dyDescent="0.3">
      <c r="A62" s="36"/>
      <c r="B62" s="20"/>
      <c r="D62" s="20"/>
      <c r="E62" s="20"/>
      <c r="F62" s="20"/>
    </row>
    <row r="63" spans="1:6" ht="18.75" x14ac:dyDescent="0.3">
      <c r="A63" s="36"/>
      <c r="B63" s="20"/>
      <c r="D63" s="20"/>
      <c r="E63" s="20"/>
      <c r="F63" s="20"/>
    </row>
    <row r="64" spans="1:6" ht="18.75" x14ac:dyDescent="0.3">
      <c r="A64" s="36"/>
      <c r="B64" s="20"/>
      <c r="D64" s="20"/>
      <c r="E64" s="20"/>
      <c r="F64" s="20"/>
    </row>
    <row r="65" spans="1:9" ht="18.75" x14ac:dyDescent="0.3">
      <c r="A65" s="36"/>
      <c r="B65" s="20"/>
      <c r="D65" s="20"/>
      <c r="E65" s="20"/>
      <c r="F65" s="20"/>
    </row>
    <row r="66" spans="1:9" ht="18.75" x14ac:dyDescent="0.3">
      <c r="A66" s="36"/>
      <c r="B66" s="20"/>
      <c r="D66" s="20"/>
      <c r="E66" s="20"/>
      <c r="F66" s="20"/>
    </row>
    <row r="67" spans="1:9" ht="18.75" x14ac:dyDescent="0.3">
      <c r="A67" s="36"/>
      <c r="B67" s="47"/>
      <c r="C67" s="39"/>
      <c r="D67" s="37"/>
      <c r="E67" s="37"/>
      <c r="F67" s="38"/>
      <c r="G67" s="36"/>
      <c r="H67" s="36"/>
      <c r="I67" s="36"/>
    </row>
    <row r="68" spans="1:9" ht="18.75" x14ac:dyDescent="0.3">
      <c r="A68" s="36"/>
      <c r="B68" s="47"/>
      <c r="C68" s="39"/>
      <c r="D68" s="37"/>
      <c r="E68" s="37"/>
      <c r="F68" s="38"/>
      <c r="G68" s="36"/>
      <c r="H68" s="36"/>
      <c r="I68" s="36"/>
    </row>
    <row r="69" spans="1:9" ht="18.75" x14ac:dyDescent="0.3">
      <c r="A69" s="36"/>
      <c r="B69" s="47"/>
      <c r="C69" s="39"/>
      <c r="D69" s="37"/>
      <c r="E69" s="37"/>
      <c r="F69" s="38"/>
      <c r="G69" s="36"/>
      <c r="H69" s="36"/>
      <c r="I69" s="36"/>
    </row>
    <row r="70" spans="1:9" ht="18.75" x14ac:dyDescent="0.3">
      <c r="A70" s="36"/>
      <c r="B70" s="47"/>
      <c r="C70" s="39"/>
      <c r="D70" s="37"/>
      <c r="E70" s="37"/>
      <c r="F70" s="38"/>
      <c r="G70" s="36"/>
      <c r="H70" s="36"/>
      <c r="I70" s="36"/>
    </row>
    <row r="71" spans="1:9" ht="18.75" x14ac:dyDescent="0.3">
      <c r="A71" s="36"/>
      <c r="B71" s="47"/>
      <c r="C71" s="39"/>
      <c r="D71" s="37"/>
      <c r="E71" s="37"/>
      <c r="F71" s="38"/>
      <c r="G71" s="36"/>
      <c r="H71" s="36"/>
      <c r="I71" s="36"/>
    </row>
    <row r="72" spans="1:9" ht="18.75" x14ac:dyDescent="0.3">
      <c r="A72" s="36"/>
      <c r="B72" s="47"/>
      <c r="C72" s="39"/>
      <c r="D72" s="37"/>
      <c r="E72" s="37"/>
      <c r="F72" s="38"/>
      <c r="G72" s="36"/>
      <c r="H72" s="36"/>
      <c r="I72" s="36"/>
    </row>
    <row r="73" spans="1:9" ht="18.75" x14ac:dyDescent="0.3">
      <c r="A73" s="36"/>
      <c r="B73" s="47"/>
      <c r="C73" s="39"/>
      <c r="D73" s="37"/>
      <c r="E73" s="37"/>
      <c r="F73" s="38"/>
      <c r="G73" s="36"/>
      <c r="H73" s="36"/>
      <c r="I73" s="36"/>
    </row>
    <row r="74" spans="1:9" ht="18.75" x14ac:dyDescent="0.3">
      <c r="A74" s="36"/>
      <c r="B74" s="47"/>
      <c r="C74" s="39"/>
      <c r="D74" s="37"/>
      <c r="E74" s="37"/>
      <c r="F74" s="38"/>
      <c r="G74" s="36"/>
      <c r="H74" s="36"/>
      <c r="I74" s="36"/>
    </row>
    <row r="75" spans="1:9" ht="18.75" x14ac:dyDescent="0.3">
      <c r="A75" s="36"/>
      <c r="B75" s="47"/>
      <c r="C75" s="39"/>
      <c r="D75" s="37"/>
      <c r="E75" s="37"/>
      <c r="F75" s="38"/>
      <c r="G75" s="36"/>
      <c r="H75" s="36"/>
      <c r="I75" s="36"/>
    </row>
    <row r="76" spans="1:9" ht="18.75" x14ac:dyDescent="0.3">
      <c r="A76" s="36"/>
      <c r="B76" s="47"/>
      <c r="C76" s="39"/>
      <c r="D76" s="37"/>
      <c r="E76" s="37"/>
      <c r="F76" s="38"/>
      <c r="G76" s="36"/>
      <c r="H76" s="36"/>
      <c r="I76" s="36"/>
    </row>
    <row r="77" spans="1:9" ht="18.75" x14ac:dyDescent="0.3">
      <c r="A77" s="36"/>
      <c r="B77" s="47"/>
      <c r="C77" s="39"/>
      <c r="D77" s="37"/>
      <c r="E77" s="37"/>
      <c r="F77" s="38"/>
      <c r="G77" s="36"/>
      <c r="H77" s="36"/>
      <c r="I77" s="36"/>
    </row>
    <row r="78" spans="1:9" ht="18.75" x14ac:dyDescent="0.3">
      <c r="A78" s="36"/>
      <c r="B78" s="47"/>
      <c r="C78" s="39"/>
      <c r="D78" s="37"/>
      <c r="E78" s="37"/>
      <c r="F78" s="38"/>
      <c r="G78" s="36"/>
      <c r="H78" s="36"/>
      <c r="I78" s="36"/>
    </row>
    <row r="79" spans="1:9" ht="18.75" x14ac:dyDescent="0.3">
      <c r="A79" s="36"/>
      <c r="B79" s="47"/>
      <c r="C79" s="39"/>
      <c r="D79" s="37"/>
      <c r="E79" s="37"/>
      <c r="F79" s="38"/>
      <c r="G79" s="36"/>
      <c r="H79" s="36"/>
      <c r="I79" s="36"/>
    </row>
    <row r="80" spans="1:9" ht="18.75" x14ac:dyDescent="0.3">
      <c r="A80" s="36"/>
      <c r="B80" s="47"/>
      <c r="C80" s="39"/>
      <c r="D80" s="37"/>
      <c r="E80" s="37"/>
      <c r="F80" s="38"/>
      <c r="G80" s="36"/>
      <c r="H80" s="36"/>
      <c r="I80" s="36"/>
    </row>
    <row r="81" spans="1:9" ht="18.75" x14ac:dyDescent="0.3">
      <c r="A81" s="36"/>
      <c r="B81" s="47"/>
      <c r="C81" s="39"/>
      <c r="D81" s="37"/>
      <c r="E81" s="37"/>
      <c r="F81" s="38"/>
      <c r="G81" s="36"/>
      <c r="H81" s="36"/>
      <c r="I81" s="36"/>
    </row>
    <row r="82" spans="1:9" ht="18.75" x14ac:dyDescent="0.3">
      <c r="A82" s="36"/>
      <c r="B82" s="47"/>
      <c r="C82" s="39"/>
      <c r="D82" s="37"/>
      <c r="E82" s="37"/>
      <c r="F82" s="38"/>
      <c r="G82" s="36"/>
      <c r="H82" s="36"/>
      <c r="I82" s="36"/>
    </row>
    <row r="83" spans="1:9" ht="18.75" x14ac:dyDescent="0.3">
      <c r="A83" s="36"/>
      <c r="B83" s="47"/>
      <c r="C83" s="39"/>
      <c r="D83" s="37"/>
      <c r="E83" s="37"/>
      <c r="F83" s="38"/>
      <c r="G83" s="36"/>
      <c r="H83" s="36"/>
      <c r="I83" s="36"/>
    </row>
    <row r="84" spans="1:9" ht="18.75" x14ac:dyDescent="0.3">
      <c r="A84" s="36"/>
      <c r="B84" s="47"/>
      <c r="C84" s="39"/>
      <c r="D84" s="37"/>
      <c r="E84" s="37"/>
      <c r="F84" s="38"/>
      <c r="G84" s="36"/>
      <c r="H84" s="36"/>
      <c r="I84" s="36"/>
    </row>
    <row r="85" spans="1:9" ht="18.75" x14ac:dyDescent="0.3">
      <c r="A85" s="36"/>
      <c r="B85" s="47"/>
      <c r="C85" s="39"/>
      <c r="D85" s="37"/>
      <c r="E85" s="37"/>
      <c r="F85" s="38"/>
      <c r="G85" s="36"/>
      <c r="H85" s="36"/>
      <c r="I85" s="36"/>
    </row>
    <row r="86" spans="1:9" ht="18.75" x14ac:dyDescent="0.3">
      <c r="A86" s="36"/>
      <c r="B86" s="47"/>
      <c r="C86" s="39"/>
      <c r="D86" s="37"/>
      <c r="E86" s="37"/>
      <c r="F86" s="38"/>
      <c r="G86" s="36"/>
      <c r="H86" s="36"/>
      <c r="I86" s="36"/>
    </row>
    <row r="87" spans="1:9" ht="18.75" x14ac:dyDescent="0.3">
      <c r="A87" s="36"/>
      <c r="B87" s="47"/>
      <c r="C87" s="39"/>
      <c r="D87" s="37"/>
      <c r="E87" s="37"/>
      <c r="F87" s="38"/>
      <c r="G87" s="36"/>
      <c r="H87" s="36"/>
      <c r="I87" s="36"/>
    </row>
    <row r="88" spans="1:9" ht="18.75" x14ac:dyDescent="0.3">
      <c r="A88" s="36"/>
      <c r="B88" s="47"/>
      <c r="C88" s="39"/>
      <c r="D88" s="37"/>
      <c r="E88" s="37"/>
      <c r="F88" s="38"/>
      <c r="G88" s="36"/>
      <c r="H88" s="36"/>
      <c r="I88" s="36"/>
    </row>
    <row r="89" spans="1:9" ht="18.75" x14ac:dyDescent="0.3">
      <c r="A89" s="36"/>
      <c r="B89" s="47"/>
      <c r="C89" s="39"/>
      <c r="D89" s="37"/>
      <c r="E89" s="37"/>
      <c r="F89" s="38"/>
      <c r="G89" s="36"/>
      <c r="H89" s="36"/>
      <c r="I89" s="36"/>
    </row>
    <row r="90" spans="1:9" ht="18.75" x14ac:dyDescent="0.3">
      <c r="A90" s="36"/>
      <c r="B90" s="47"/>
      <c r="C90" s="39"/>
      <c r="D90" s="37"/>
      <c r="E90" s="37"/>
      <c r="F90" s="38"/>
      <c r="G90" s="36"/>
      <c r="H90" s="36"/>
      <c r="I90" s="36"/>
    </row>
    <row r="91" spans="1:9" ht="18.75" x14ac:dyDescent="0.3">
      <c r="A91" s="36"/>
      <c r="B91" s="47"/>
      <c r="C91" s="39"/>
      <c r="D91" s="37"/>
      <c r="E91" s="37"/>
      <c r="F91" s="38"/>
      <c r="G91" s="36"/>
      <c r="H91" s="36"/>
      <c r="I91" s="36"/>
    </row>
    <row r="92" spans="1:9" ht="18.75" x14ac:dyDescent="0.3">
      <c r="A92" s="36"/>
      <c r="B92" s="47"/>
      <c r="C92" s="39"/>
      <c r="D92" s="37"/>
      <c r="E92" s="37"/>
      <c r="F92" s="38"/>
      <c r="G92" s="36"/>
      <c r="H92" s="36"/>
      <c r="I92" s="36"/>
    </row>
    <row r="93" spans="1:9" ht="18.75" x14ac:dyDescent="0.3">
      <c r="A93" s="36"/>
      <c r="B93" s="47"/>
      <c r="C93" s="39"/>
      <c r="D93" s="37"/>
      <c r="E93" s="37"/>
      <c r="F93" s="38"/>
      <c r="G93" s="36"/>
      <c r="H93" s="36"/>
      <c r="I93" s="36"/>
    </row>
    <row r="94" spans="1:9" ht="18.75" x14ac:dyDescent="0.3">
      <c r="A94" s="36"/>
      <c r="B94" s="47"/>
      <c r="C94" s="39"/>
      <c r="D94" s="37"/>
      <c r="E94" s="37"/>
      <c r="F94" s="38"/>
      <c r="G94" s="36"/>
      <c r="H94" s="36"/>
      <c r="I94" s="36"/>
    </row>
    <row r="95" spans="1:9" ht="18.75" x14ac:dyDescent="0.3">
      <c r="A95" s="36"/>
      <c r="B95" s="47"/>
      <c r="C95" s="39"/>
      <c r="D95" s="37"/>
      <c r="E95" s="37"/>
      <c r="F95" s="38"/>
      <c r="G95" s="36"/>
      <c r="H95" s="36"/>
      <c r="I95" s="36"/>
    </row>
    <row r="96" spans="1:9" ht="18.75" x14ac:dyDescent="0.3">
      <c r="A96" s="36"/>
      <c r="B96" s="47"/>
      <c r="C96" s="39"/>
      <c r="D96" s="37"/>
      <c r="E96" s="37"/>
      <c r="F96" s="38"/>
      <c r="G96" s="36"/>
      <c r="H96" s="36"/>
      <c r="I96" s="36"/>
    </row>
    <row r="97" spans="1:9" ht="18.75" x14ac:dyDescent="0.3">
      <c r="A97" s="36"/>
      <c r="B97" s="47"/>
      <c r="C97" s="39"/>
      <c r="D97" s="37"/>
      <c r="E97" s="37"/>
      <c r="F97" s="38"/>
      <c r="G97" s="36"/>
      <c r="H97" s="36"/>
      <c r="I97" s="36"/>
    </row>
    <row r="98" spans="1:9" ht="18.75" x14ac:dyDescent="0.3">
      <c r="A98" s="36"/>
      <c r="B98" s="47"/>
      <c r="C98" s="39"/>
      <c r="D98" s="37"/>
      <c r="E98" s="37"/>
      <c r="F98" s="38"/>
      <c r="G98" s="36"/>
      <c r="H98" s="36"/>
      <c r="I98" s="36"/>
    </row>
    <row r="99" spans="1:9" ht="18.75" x14ac:dyDescent="0.3">
      <c r="A99" s="36"/>
      <c r="B99" s="47"/>
      <c r="C99" s="39"/>
      <c r="D99" s="37"/>
      <c r="E99" s="37"/>
      <c r="F99" s="38"/>
      <c r="G99" s="36"/>
      <c r="H99" s="36"/>
      <c r="I99" s="36"/>
    </row>
    <row r="100" spans="1:9" ht="18.75" x14ac:dyDescent="0.3">
      <c r="A100" s="36"/>
      <c r="B100" s="47"/>
      <c r="C100" s="39"/>
      <c r="D100" s="37"/>
      <c r="E100" s="37"/>
      <c r="F100" s="38"/>
      <c r="G100" s="36"/>
      <c r="H100" s="36"/>
      <c r="I100" s="36"/>
    </row>
    <row r="101" spans="1:9" ht="18.75" x14ac:dyDescent="0.3">
      <c r="A101" s="36"/>
      <c r="B101" s="47"/>
      <c r="C101" s="39"/>
      <c r="D101" s="37"/>
      <c r="E101" s="37"/>
      <c r="F101" s="38"/>
      <c r="G101" s="36"/>
      <c r="H101" s="36"/>
      <c r="I101" s="36"/>
    </row>
    <row r="102" spans="1:9" ht="18.75" x14ac:dyDescent="0.3">
      <c r="A102" s="36"/>
      <c r="B102" s="47"/>
      <c r="C102" s="39"/>
      <c r="D102" s="37"/>
      <c r="E102" s="37"/>
      <c r="F102" s="38"/>
      <c r="G102" s="36"/>
      <c r="H102" s="36"/>
      <c r="I102" s="36"/>
    </row>
    <row r="103" spans="1:9" ht="18.75" x14ac:dyDescent="0.3">
      <c r="A103" s="36"/>
      <c r="B103" s="47"/>
      <c r="C103" s="39"/>
      <c r="D103" s="37"/>
      <c r="E103" s="37"/>
      <c r="F103" s="38"/>
      <c r="G103" s="36"/>
      <c r="H103" s="36"/>
      <c r="I103" s="36"/>
    </row>
    <row r="104" spans="1:9" ht="18.75" x14ac:dyDescent="0.3">
      <c r="A104" s="36"/>
      <c r="B104" s="47"/>
      <c r="C104" s="39"/>
      <c r="D104" s="37"/>
      <c r="E104" s="37"/>
      <c r="F104" s="38"/>
      <c r="G104" s="36"/>
      <c r="H104" s="36"/>
      <c r="I104" s="36"/>
    </row>
    <row r="105" spans="1:9" ht="18.75" x14ac:dyDescent="0.3">
      <c r="A105" s="36"/>
      <c r="B105" s="47"/>
      <c r="C105" s="39"/>
      <c r="D105" s="37"/>
      <c r="E105" s="37"/>
      <c r="F105" s="38"/>
      <c r="G105" s="36"/>
      <c r="H105" s="36"/>
      <c r="I105" s="36"/>
    </row>
    <row r="106" spans="1:9" ht="18.75" x14ac:dyDescent="0.3">
      <c r="A106" s="36"/>
      <c r="B106" s="47"/>
      <c r="C106" s="39"/>
      <c r="D106" s="37"/>
      <c r="E106" s="37"/>
      <c r="F106" s="38"/>
      <c r="G106" s="36"/>
      <c r="H106" s="36"/>
      <c r="I106" s="36"/>
    </row>
    <row r="107" spans="1:9" ht="18.75" x14ac:dyDescent="0.3">
      <c r="A107" s="36"/>
      <c r="B107" s="47"/>
      <c r="C107" s="39"/>
      <c r="D107" s="37"/>
      <c r="E107" s="37"/>
      <c r="F107" s="38"/>
      <c r="G107" s="36"/>
      <c r="H107" s="36"/>
      <c r="I107" s="36"/>
    </row>
    <row r="108" spans="1:9" ht="18.75" x14ac:dyDescent="0.3">
      <c r="A108" s="36"/>
      <c r="B108" s="47"/>
      <c r="C108" s="39"/>
      <c r="D108" s="37"/>
      <c r="E108" s="37"/>
      <c r="F108" s="38"/>
      <c r="G108" s="36"/>
      <c r="H108" s="36"/>
      <c r="I108" s="36"/>
    </row>
    <row r="109" spans="1:9" ht="18.75" x14ac:dyDescent="0.3">
      <c r="A109" s="36"/>
      <c r="B109" s="47"/>
      <c r="C109" s="39"/>
      <c r="D109" s="37"/>
      <c r="E109" s="37"/>
      <c r="F109" s="38"/>
      <c r="G109" s="36"/>
      <c r="H109" s="36"/>
      <c r="I109" s="36"/>
    </row>
    <row r="110" spans="1:9" ht="18.75" x14ac:dyDescent="0.3">
      <c r="A110" s="36"/>
      <c r="B110" s="47"/>
      <c r="C110" s="39"/>
      <c r="D110" s="37"/>
      <c r="E110" s="37"/>
      <c r="F110" s="38"/>
      <c r="G110" s="36"/>
      <c r="H110" s="36"/>
      <c r="I110" s="36"/>
    </row>
    <row r="111" spans="1:9" ht="18.75" x14ac:dyDescent="0.3">
      <c r="A111" s="36"/>
      <c r="B111" s="47"/>
      <c r="C111" s="39"/>
      <c r="D111" s="37"/>
      <c r="E111" s="37"/>
      <c r="F111" s="38"/>
      <c r="G111" s="36"/>
      <c r="H111" s="36"/>
      <c r="I111" s="36"/>
    </row>
    <row r="112" spans="1:9" ht="18.75" x14ac:dyDescent="0.3">
      <c r="A112" s="36"/>
      <c r="B112" s="47"/>
      <c r="C112" s="39"/>
      <c r="D112" s="37"/>
      <c r="E112" s="37"/>
      <c r="F112" s="38"/>
      <c r="G112" s="36"/>
      <c r="H112" s="36"/>
      <c r="I112" s="36"/>
    </row>
    <row r="113" spans="1:9" ht="18.75" x14ac:dyDescent="0.3">
      <c r="A113" s="36"/>
      <c r="B113" s="47"/>
      <c r="C113" s="39"/>
      <c r="D113" s="37"/>
      <c r="E113" s="37"/>
      <c r="F113" s="38"/>
      <c r="G113" s="36"/>
      <c r="H113" s="36"/>
      <c r="I113" s="36"/>
    </row>
    <row r="114" spans="1:9" ht="18.75" x14ac:dyDescent="0.3">
      <c r="A114" s="36"/>
      <c r="B114" s="47"/>
      <c r="C114" s="39"/>
      <c r="D114" s="37"/>
      <c r="E114" s="37"/>
      <c r="F114" s="38"/>
      <c r="G114" s="36"/>
      <c r="H114" s="36"/>
      <c r="I114" s="36"/>
    </row>
    <row r="115" spans="1:9" ht="18.75" x14ac:dyDescent="0.3">
      <c r="A115" s="36"/>
      <c r="B115" s="47"/>
      <c r="C115" s="39"/>
      <c r="D115" s="37"/>
      <c r="E115" s="37"/>
      <c r="F115" s="38"/>
      <c r="G115" s="36"/>
      <c r="H115" s="36"/>
      <c r="I115" s="36"/>
    </row>
    <row r="116" spans="1:9" ht="18.75" x14ac:dyDescent="0.3">
      <c r="A116" s="36"/>
      <c r="B116" s="47"/>
      <c r="C116" s="39"/>
      <c r="D116" s="37"/>
      <c r="E116" s="37"/>
      <c r="F116" s="38"/>
      <c r="G116" s="36"/>
      <c r="H116" s="36"/>
      <c r="I116" s="36"/>
    </row>
    <row r="117" spans="1:9" ht="18.75" x14ac:dyDescent="0.3">
      <c r="A117" s="36"/>
      <c r="B117" s="47"/>
      <c r="C117" s="39"/>
      <c r="D117" s="37"/>
      <c r="E117" s="37"/>
      <c r="F117" s="38"/>
      <c r="G117" s="36"/>
      <c r="H117" s="36"/>
      <c r="I117" s="36"/>
    </row>
    <row r="118" spans="1:9" ht="18.75" x14ac:dyDescent="0.3">
      <c r="A118" s="36"/>
      <c r="B118" s="47"/>
      <c r="C118" s="39"/>
      <c r="D118" s="37"/>
      <c r="E118" s="37"/>
      <c r="F118" s="38"/>
      <c r="G118" s="36"/>
      <c r="H118" s="36"/>
      <c r="I118" s="36"/>
    </row>
    <row r="119" spans="1:9" ht="18.75" x14ac:dyDescent="0.3">
      <c r="A119" s="36"/>
      <c r="B119" s="47"/>
      <c r="C119" s="39"/>
      <c r="D119" s="37"/>
      <c r="E119" s="37"/>
      <c r="F119" s="38"/>
      <c r="G119" s="36"/>
      <c r="H119" s="36"/>
      <c r="I119" s="36"/>
    </row>
    <row r="120" spans="1:9" ht="18.75" x14ac:dyDescent="0.3">
      <c r="A120" s="36"/>
      <c r="B120" s="47"/>
      <c r="C120" s="39"/>
      <c r="D120" s="37"/>
      <c r="E120" s="37"/>
      <c r="F120" s="38"/>
      <c r="G120" s="36"/>
      <c r="H120" s="36"/>
      <c r="I120" s="36"/>
    </row>
    <row r="121" spans="1:9" ht="18.75" x14ac:dyDescent="0.3">
      <c r="A121" s="36"/>
      <c r="B121" s="47"/>
      <c r="C121" s="39"/>
      <c r="D121" s="37"/>
      <c r="E121" s="37"/>
      <c r="F121" s="38"/>
      <c r="G121" s="36"/>
      <c r="H121" s="36"/>
      <c r="I121" s="36"/>
    </row>
    <row r="122" spans="1:9" ht="18.75" x14ac:dyDescent="0.3">
      <c r="A122" s="36"/>
      <c r="B122" s="47"/>
      <c r="C122" s="39"/>
      <c r="D122" s="37"/>
      <c r="E122" s="37"/>
      <c r="F122" s="38"/>
      <c r="G122" s="36"/>
      <c r="H122" s="36"/>
      <c r="I122" s="36"/>
    </row>
    <row r="123" spans="1:9" ht="18.75" x14ac:dyDescent="0.3">
      <c r="A123" s="36"/>
      <c r="B123" s="47"/>
      <c r="C123" s="39"/>
      <c r="D123" s="37"/>
      <c r="E123" s="37"/>
      <c r="F123" s="38"/>
      <c r="G123" s="36"/>
      <c r="H123" s="36"/>
      <c r="I123" s="36"/>
    </row>
    <row r="124" spans="1:9" ht="18.75" x14ac:dyDescent="0.3">
      <c r="A124" s="36"/>
      <c r="B124" s="47"/>
      <c r="C124" s="39"/>
      <c r="D124" s="37"/>
      <c r="E124" s="37"/>
      <c r="F124" s="38"/>
      <c r="G124" s="36"/>
      <c r="H124" s="36"/>
      <c r="I124" s="36"/>
    </row>
    <row r="125" spans="1:9" ht="18.75" x14ac:dyDescent="0.3">
      <c r="A125" s="36"/>
      <c r="B125" s="47"/>
      <c r="C125" s="39"/>
      <c r="D125" s="37"/>
      <c r="E125" s="37"/>
      <c r="F125" s="38"/>
      <c r="G125" s="36"/>
      <c r="H125" s="36"/>
      <c r="I125" s="36"/>
    </row>
    <row r="126" spans="1:9" ht="18.75" x14ac:dyDescent="0.3">
      <c r="A126" s="36"/>
      <c r="B126" s="47"/>
      <c r="C126" s="39"/>
      <c r="D126" s="37"/>
      <c r="E126" s="37"/>
      <c r="F126" s="38"/>
      <c r="G126" s="36"/>
      <c r="H126" s="36"/>
      <c r="I126" s="36"/>
    </row>
    <row r="127" spans="1:9" ht="18.75" x14ac:dyDescent="0.3">
      <c r="A127" s="36"/>
      <c r="B127" s="47"/>
      <c r="C127" s="39"/>
      <c r="D127" s="37"/>
      <c r="E127" s="37"/>
      <c r="F127" s="38"/>
      <c r="G127" s="36"/>
      <c r="H127" s="36"/>
      <c r="I127" s="36"/>
    </row>
    <row r="128" spans="1:9" ht="18.75" x14ac:dyDescent="0.3">
      <c r="A128" s="36"/>
      <c r="B128" s="47"/>
      <c r="C128" s="39"/>
      <c r="D128" s="37"/>
      <c r="E128" s="37"/>
      <c r="F128" s="38"/>
      <c r="G128" s="36"/>
      <c r="H128" s="36"/>
      <c r="I128" s="36"/>
    </row>
    <row r="129" spans="1:9" ht="18.75" x14ac:dyDescent="0.3">
      <c r="A129" s="36"/>
      <c r="B129" s="47"/>
      <c r="C129" s="39"/>
      <c r="D129" s="37"/>
      <c r="E129" s="37"/>
      <c r="F129" s="38"/>
      <c r="G129" s="36"/>
      <c r="H129" s="36"/>
      <c r="I129" s="36"/>
    </row>
    <row r="130" spans="1:9" ht="18.75" x14ac:dyDescent="0.3">
      <c r="A130" s="36"/>
      <c r="B130" s="47"/>
      <c r="C130" s="39"/>
      <c r="D130" s="37"/>
      <c r="E130" s="37"/>
      <c r="F130" s="38"/>
      <c r="G130" s="36"/>
      <c r="H130" s="36"/>
      <c r="I130" s="36"/>
    </row>
    <row r="131" spans="1:9" ht="18.75" x14ac:dyDescent="0.3">
      <c r="A131" s="36"/>
      <c r="B131" s="47"/>
      <c r="C131" s="39"/>
      <c r="D131" s="37"/>
      <c r="E131" s="37"/>
      <c r="F131" s="38"/>
      <c r="G131" s="36"/>
      <c r="H131" s="36"/>
      <c r="I131" s="36"/>
    </row>
    <row r="132" spans="1:9" ht="18.75" x14ac:dyDescent="0.3">
      <c r="A132" s="36"/>
      <c r="B132" s="47"/>
      <c r="C132" s="39"/>
      <c r="D132" s="37"/>
      <c r="E132" s="37"/>
      <c r="F132" s="38"/>
      <c r="G132" s="36"/>
      <c r="H132" s="36"/>
      <c r="I132" s="36"/>
    </row>
    <row r="133" spans="1:9" ht="18.75" x14ac:dyDescent="0.3">
      <c r="A133" s="36"/>
      <c r="B133" s="47"/>
      <c r="C133" s="39"/>
      <c r="D133" s="37"/>
      <c r="E133" s="37"/>
      <c r="F133" s="38"/>
      <c r="G133" s="36"/>
      <c r="H133" s="36"/>
      <c r="I133" s="36"/>
    </row>
    <row r="134" spans="1:9" ht="18.75" x14ac:dyDescent="0.3">
      <c r="A134" s="36"/>
      <c r="B134" s="47"/>
      <c r="C134" s="39"/>
      <c r="D134" s="37"/>
      <c r="E134" s="37"/>
      <c r="F134" s="38"/>
      <c r="G134" s="36"/>
      <c r="H134" s="36"/>
      <c r="I134" s="36"/>
    </row>
    <row r="135" spans="1:9" ht="18.75" x14ac:dyDescent="0.3">
      <c r="A135" s="36"/>
      <c r="B135" s="47"/>
      <c r="C135" s="39"/>
      <c r="D135" s="37"/>
      <c r="E135" s="37"/>
      <c r="F135" s="38"/>
      <c r="G135" s="36"/>
      <c r="H135" s="36"/>
      <c r="I135" s="36"/>
    </row>
    <row r="136" spans="1:9" ht="18.75" x14ac:dyDescent="0.3">
      <c r="A136" s="36"/>
      <c r="B136" s="47"/>
      <c r="C136" s="39"/>
      <c r="D136" s="37"/>
      <c r="E136" s="37"/>
      <c r="F136" s="38"/>
      <c r="G136" s="36"/>
      <c r="H136" s="36"/>
      <c r="I136" s="36"/>
    </row>
    <row r="137" spans="1:9" ht="18.75" x14ac:dyDescent="0.3">
      <c r="A137" s="36"/>
      <c r="B137" s="47"/>
      <c r="C137" s="39"/>
      <c r="D137" s="37"/>
      <c r="E137" s="37"/>
      <c r="F137" s="38"/>
      <c r="G137" s="36"/>
      <c r="H137" s="36"/>
      <c r="I137" s="36"/>
    </row>
    <row r="138" spans="1:9" ht="18.75" x14ac:dyDescent="0.3">
      <c r="A138" s="36"/>
      <c r="B138" s="47"/>
      <c r="C138" s="39"/>
      <c r="D138" s="37"/>
      <c r="E138" s="37"/>
      <c r="F138" s="38"/>
      <c r="G138" s="36"/>
      <c r="H138" s="36"/>
      <c r="I138" s="36"/>
    </row>
    <row r="139" spans="1:9" ht="18.75" x14ac:dyDescent="0.3">
      <c r="A139" s="36"/>
      <c r="B139" s="47"/>
      <c r="C139" s="39"/>
      <c r="D139" s="37"/>
      <c r="E139" s="37"/>
      <c r="F139" s="38"/>
      <c r="G139" s="36"/>
      <c r="H139" s="36"/>
      <c r="I139" s="36"/>
    </row>
    <row r="140" spans="1:9" ht="18.75" x14ac:dyDescent="0.3">
      <c r="A140" s="36"/>
      <c r="B140" s="47"/>
      <c r="C140" s="39"/>
      <c r="D140" s="37"/>
      <c r="E140" s="37"/>
      <c r="F140" s="38"/>
      <c r="G140" s="36"/>
      <c r="H140" s="36"/>
      <c r="I140" s="36"/>
    </row>
    <row r="141" spans="1:9" ht="18.75" x14ac:dyDescent="0.3">
      <c r="A141" s="36"/>
      <c r="B141" s="47"/>
      <c r="C141" s="39"/>
      <c r="D141" s="37"/>
      <c r="E141" s="37"/>
      <c r="F141" s="38"/>
      <c r="G141" s="36"/>
      <c r="H141" s="36"/>
      <c r="I141" s="36"/>
    </row>
    <row r="142" spans="1:9" ht="18.75" x14ac:dyDescent="0.3">
      <c r="A142" s="36"/>
      <c r="B142" s="47"/>
      <c r="C142" s="39"/>
      <c r="D142" s="37"/>
      <c r="E142" s="37"/>
      <c r="F142" s="38"/>
      <c r="G142" s="36"/>
      <c r="H142" s="36"/>
      <c r="I142" s="36"/>
    </row>
    <row r="143" spans="1:9" ht="18.75" x14ac:dyDescent="0.3">
      <c r="A143" s="36"/>
      <c r="B143" s="47"/>
      <c r="C143" s="39"/>
      <c r="D143" s="37"/>
      <c r="E143" s="37"/>
      <c r="F143" s="38"/>
      <c r="G143" s="36"/>
      <c r="H143" s="36"/>
      <c r="I143" s="36"/>
    </row>
    <row r="144" spans="1:9" ht="18.75" x14ac:dyDescent="0.3">
      <c r="A144" s="36"/>
      <c r="B144" s="47"/>
      <c r="C144" s="39"/>
      <c r="D144" s="37"/>
      <c r="E144" s="37"/>
      <c r="F144" s="38"/>
      <c r="G144" s="36"/>
      <c r="H144" s="36"/>
      <c r="I144" s="36"/>
    </row>
    <row r="145" spans="1:9" ht="18.75" x14ac:dyDescent="0.3">
      <c r="A145" s="36"/>
      <c r="B145" s="47"/>
      <c r="C145" s="39"/>
      <c r="D145" s="37"/>
      <c r="E145" s="37"/>
      <c r="F145" s="38"/>
      <c r="G145" s="36"/>
      <c r="H145" s="36"/>
      <c r="I145" s="36"/>
    </row>
    <row r="146" spans="1:9" ht="18.75" x14ac:dyDescent="0.3">
      <c r="A146" s="36"/>
      <c r="B146" s="47"/>
      <c r="C146" s="39"/>
      <c r="D146" s="37"/>
      <c r="E146" s="37"/>
      <c r="F146" s="38"/>
      <c r="G146" s="36"/>
      <c r="H146" s="36"/>
      <c r="I146" s="36"/>
    </row>
    <row r="147" spans="1:9" ht="18.75" x14ac:dyDescent="0.3">
      <c r="A147" s="36"/>
      <c r="B147" s="47"/>
      <c r="C147" s="39"/>
      <c r="D147" s="37"/>
      <c r="E147" s="37"/>
      <c r="F147" s="38"/>
      <c r="G147" s="36"/>
      <c r="H147" s="36"/>
      <c r="I147" s="36"/>
    </row>
    <row r="148" spans="1:9" ht="18.75" x14ac:dyDescent="0.3">
      <c r="A148" s="36"/>
      <c r="B148" s="47"/>
      <c r="C148" s="39"/>
      <c r="D148" s="37"/>
      <c r="E148" s="37"/>
      <c r="F148" s="38"/>
      <c r="G148" s="36"/>
      <c r="H148" s="36"/>
      <c r="I148" s="36"/>
    </row>
    <row r="149" spans="1:9" ht="18.75" x14ac:dyDescent="0.3">
      <c r="A149" s="36"/>
      <c r="B149" s="47"/>
      <c r="C149" s="39"/>
      <c r="D149" s="37"/>
      <c r="E149" s="37"/>
      <c r="F149" s="38"/>
      <c r="G149" s="36"/>
      <c r="H149" s="36"/>
      <c r="I149" s="36"/>
    </row>
    <row r="150" spans="1:9" ht="18.75" x14ac:dyDescent="0.3">
      <c r="A150" s="36"/>
      <c r="B150" s="47"/>
      <c r="C150" s="39"/>
      <c r="D150" s="37"/>
      <c r="E150" s="37"/>
      <c r="F150" s="38"/>
      <c r="G150" s="36"/>
      <c r="H150" s="36"/>
      <c r="I150" s="36"/>
    </row>
    <row r="151" spans="1:9" ht="18.75" x14ac:dyDescent="0.3">
      <c r="A151" s="36"/>
      <c r="B151" s="47"/>
      <c r="C151" s="39"/>
      <c r="D151" s="37"/>
      <c r="E151" s="37"/>
      <c r="F151" s="38"/>
      <c r="G151" s="36"/>
      <c r="H151" s="36"/>
      <c r="I151" s="36"/>
    </row>
    <row r="152" spans="1:9" ht="18.75" x14ac:dyDescent="0.3">
      <c r="A152" s="36"/>
      <c r="B152" s="47"/>
      <c r="C152" s="39"/>
      <c r="D152" s="37"/>
      <c r="E152" s="37"/>
      <c r="F152" s="38"/>
      <c r="G152" s="36"/>
      <c r="H152" s="36"/>
      <c r="I152" s="36"/>
    </row>
    <row r="153" spans="1:9" ht="18.75" x14ac:dyDescent="0.3">
      <c r="A153" s="36"/>
      <c r="B153" s="47"/>
      <c r="C153" s="39"/>
      <c r="D153" s="37"/>
      <c r="E153" s="37"/>
      <c r="F153" s="38"/>
      <c r="G153" s="36"/>
      <c r="H153" s="36"/>
      <c r="I153" s="36"/>
    </row>
    <row r="154" spans="1:9" ht="18.75" x14ac:dyDescent="0.3">
      <c r="A154" s="36"/>
      <c r="B154" s="47"/>
      <c r="C154" s="39"/>
      <c r="D154" s="37"/>
      <c r="E154" s="37"/>
      <c r="F154" s="38"/>
      <c r="G154" s="36"/>
      <c r="H154" s="36"/>
      <c r="I154" s="36"/>
    </row>
    <row r="155" spans="1:9" ht="18.75" x14ac:dyDescent="0.3">
      <c r="A155" s="36"/>
      <c r="B155" s="47"/>
      <c r="C155" s="39"/>
      <c r="D155" s="37"/>
      <c r="E155" s="37"/>
      <c r="F155" s="38"/>
      <c r="G155" s="36"/>
      <c r="H155" s="36"/>
      <c r="I155" s="36"/>
    </row>
    <row r="156" spans="1:9" ht="18.75" x14ac:dyDescent="0.3">
      <c r="A156" s="36"/>
      <c r="B156" s="47"/>
      <c r="C156" s="39"/>
      <c r="D156" s="37"/>
      <c r="E156" s="37"/>
      <c r="F156" s="38"/>
      <c r="G156" s="36"/>
      <c r="H156" s="36"/>
      <c r="I156" s="36"/>
    </row>
    <row r="157" spans="1:9" ht="18.75" x14ac:dyDescent="0.3">
      <c r="A157" s="36"/>
      <c r="B157" s="47"/>
      <c r="C157" s="39"/>
      <c r="D157" s="37"/>
      <c r="E157" s="37"/>
      <c r="F157" s="38"/>
      <c r="G157" s="36"/>
      <c r="H157" s="36"/>
      <c r="I157" s="36"/>
    </row>
    <row r="158" spans="1:9" ht="18.75" x14ac:dyDescent="0.3">
      <c r="A158" s="36"/>
      <c r="B158" s="47"/>
      <c r="C158" s="39"/>
      <c r="D158" s="37"/>
      <c r="E158" s="37"/>
      <c r="F158" s="38"/>
      <c r="G158" s="36"/>
      <c r="H158" s="36"/>
      <c r="I158" s="36"/>
    </row>
    <row r="159" spans="1:9" ht="18.75" x14ac:dyDescent="0.3">
      <c r="A159" s="36"/>
      <c r="B159" s="47"/>
      <c r="C159" s="39"/>
      <c r="D159" s="37"/>
      <c r="E159" s="37"/>
      <c r="F159" s="38"/>
      <c r="G159" s="36"/>
      <c r="H159" s="36"/>
      <c r="I159" s="36"/>
    </row>
    <row r="160" spans="1:9" ht="18.75" x14ac:dyDescent="0.3">
      <c r="A160" s="36"/>
      <c r="B160" s="47"/>
      <c r="C160" s="39"/>
      <c r="D160" s="37"/>
      <c r="E160" s="37"/>
      <c r="F160" s="38"/>
      <c r="G160" s="36"/>
      <c r="H160" s="36"/>
      <c r="I160" s="36"/>
    </row>
    <row r="161" spans="1:9" ht="18.75" x14ac:dyDescent="0.3">
      <c r="A161" s="36"/>
      <c r="B161" s="47"/>
      <c r="C161" s="39"/>
      <c r="D161" s="37"/>
      <c r="E161" s="37"/>
      <c r="F161" s="38"/>
      <c r="G161" s="36"/>
      <c r="H161" s="36"/>
      <c r="I161" s="36"/>
    </row>
    <row r="162" spans="1:9" ht="18.75" x14ac:dyDescent="0.3">
      <c r="A162" s="36"/>
      <c r="B162" s="47"/>
      <c r="C162" s="39"/>
      <c r="D162" s="37"/>
      <c r="E162" s="37"/>
      <c r="F162" s="38"/>
      <c r="G162" s="36"/>
      <c r="H162" s="36"/>
      <c r="I162" s="36"/>
    </row>
    <row r="163" spans="1:9" ht="18.75" x14ac:dyDescent="0.3">
      <c r="A163" s="36"/>
      <c r="B163" s="47"/>
      <c r="C163" s="39"/>
      <c r="D163" s="37"/>
      <c r="E163" s="37"/>
      <c r="F163" s="38"/>
      <c r="G163" s="36"/>
      <c r="H163" s="36"/>
      <c r="I163" s="36"/>
    </row>
    <row r="164" spans="1:9" ht="18.75" x14ac:dyDescent="0.3">
      <c r="A164" s="36"/>
      <c r="B164" s="47"/>
      <c r="C164" s="39"/>
      <c r="D164" s="37"/>
      <c r="E164" s="37"/>
      <c r="F164" s="38"/>
      <c r="G164" s="36"/>
      <c r="H164" s="36"/>
      <c r="I164" s="36"/>
    </row>
    <row r="165" spans="1:9" ht="18.75" x14ac:dyDescent="0.3">
      <c r="A165" s="36"/>
      <c r="B165" s="47"/>
      <c r="C165" s="39"/>
      <c r="D165" s="37"/>
      <c r="E165" s="37"/>
      <c r="F165" s="38"/>
      <c r="G165" s="36"/>
      <c r="H165" s="36"/>
      <c r="I165" s="36"/>
    </row>
    <row r="166" spans="1:9" ht="18.75" x14ac:dyDescent="0.3">
      <c r="A166" s="36"/>
      <c r="B166" s="47"/>
      <c r="C166" s="39"/>
      <c r="D166" s="37"/>
      <c r="E166" s="37"/>
      <c r="F166" s="38"/>
      <c r="G166" s="36"/>
      <c r="H166" s="36"/>
      <c r="I166" s="36"/>
    </row>
    <row r="167" spans="1:9" ht="18.75" x14ac:dyDescent="0.3">
      <c r="A167" s="36"/>
      <c r="B167" s="47"/>
      <c r="C167" s="39"/>
      <c r="D167" s="37"/>
      <c r="E167" s="37"/>
      <c r="F167" s="38"/>
      <c r="G167" s="36"/>
      <c r="H167" s="36"/>
      <c r="I167" s="36"/>
    </row>
    <row r="168" spans="1:9" ht="18.75" x14ac:dyDescent="0.3">
      <c r="A168" s="36"/>
      <c r="B168" s="47"/>
      <c r="C168" s="39"/>
      <c r="D168" s="37"/>
      <c r="E168" s="37"/>
      <c r="F168" s="38"/>
      <c r="G168" s="36"/>
      <c r="H168" s="36"/>
      <c r="I168" s="36"/>
    </row>
    <row r="169" spans="1:9" ht="18.75" x14ac:dyDescent="0.3">
      <c r="A169" s="36"/>
      <c r="B169" s="47"/>
      <c r="C169" s="39"/>
      <c r="D169" s="37"/>
      <c r="E169" s="37"/>
      <c r="F169" s="38"/>
      <c r="G169" s="36"/>
      <c r="H169" s="36"/>
      <c r="I169" s="36"/>
    </row>
    <row r="170" spans="1:9" ht="18.75" x14ac:dyDescent="0.3">
      <c r="A170" s="36"/>
      <c r="B170" s="47"/>
      <c r="C170" s="39"/>
      <c r="D170" s="37"/>
      <c r="E170" s="37"/>
      <c r="F170" s="38"/>
      <c r="G170" s="36"/>
      <c r="H170" s="36"/>
      <c r="I170" s="36"/>
    </row>
    <row r="171" spans="1:9" ht="18.75" x14ac:dyDescent="0.3">
      <c r="A171" s="36"/>
      <c r="B171" s="47"/>
      <c r="C171" s="39"/>
      <c r="D171" s="37"/>
      <c r="E171" s="37"/>
      <c r="F171" s="38"/>
      <c r="G171" s="36"/>
      <c r="H171" s="36"/>
      <c r="I171" s="36"/>
    </row>
    <row r="172" spans="1:9" ht="18.75" x14ac:dyDescent="0.3">
      <c r="A172" s="36"/>
      <c r="B172" s="47"/>
      <c r="C172" s="39"/>
      <c r="D172" s="37"/>
      <c r="E172" s="37"/>
      <c r="F172" s="38"/>
      <c r="G172" s="36"/>
      <c r="H172" s="36"/>
      <c r="I172" s="36"/>
    </row>
    <row r="173" spans="1:9" ht="18.75" x14ac:dyDescent="0.3">
      <c r="A173" s="36"/>
      <c r="B173" s="47"/>
      <c r="C173" s="39"/>
      <c r="D173" s="37"/>
      <c r="E173" s="37"/>
      <c r="F173" s="38"/>
      <c r="G173" s="36"/>
      <c r="H173" s="36"/>
      <c r="I173" s="36"/>
    </row>
    <row r="174" spans="1:9" ht="18.75" x14ac:dyDescent="0.3">
      <c r="A174" s="36"/>
      <c r="B174" s="47"/>
      <c r="C174" s="39"/>
      <c r="D174" s="37"/>
      <c r="E174" s="37"/>
      <c r="F174" s="38"/>
      <c r="G174" s="36"/>
      <c r="H174" s="36"/>
      <c r="I174" s="36"/>
    </row>
    <row r="175" spans="1:9" ht="18.75" x14ac:dyDescent="0.3">
      <c r="A175" s="36"/>
      <c r="B175" s="47"/>
      <c r="C175" s="39"/>
      <c r="D175" s="37"/>
      <c r="E175" s="37"/>
      <c r="F175" s="38"/>
      <c r="G175" s="36"/>
      <c r="H175" s="36"/>
      <c r="I175" s="36"/>
    </row>
    <row r="176" spans="1:9" ht="18.75" x14ac:dyDescent="0.3">
      <c r="A176" s="36"/>
      <c r="B176" s="47"/>
      <c r="C176" s="39"/>
      <c r="D176" s="37"/>
      <c r="E176" s="37"/>
      <c r="F176" s="38"/>
      <c r="G176" s="36"/>
      <c r="H176" s="36"/>
      <c r="I176" s="36"/>
    </row>
    <row r="177" spans="1:9" ht="18.75" x14ac:dyDescent="0.3">
      <c r="A177" s="36"/>
      <c r="B177" s="47"/>
      <c r="C177" s="39"/>
      <c r="D177" s="37"/>
      <c r="E177" s="37"/>
      <c r="F177" s="38"/>
      <c r="G177" s="36"/>
      <c r="H177" s="36"/>
      <c r="I177" s="36"/>
    </row>
    <row r="178" spans="1:9" ht="18.75" x14ac:dyDescent="0.3">
      <c r="A178" s="36"/>
      <c r="B178" s="47"/>
      <c r="C178" s="39"/>
      <c r="D178" s="37"/>
      <c r="E178" s="37"/>
      <c r="F178" s="38"/>
      <c r="G178" s="36"/>
      <c r="H178" s="36"/>
      <c r="I178" s="36"/>
    </row>
    <row r="179" spans="1:9" ht="18.75" x14ac:dyDescent="0.3">
      <c r="A179" s="36"/>
      <c r="B179" s="47"/>
      <c r="C179" s="39"/>
      <c r="D179" s="37"/>
      <c r="E179" s="37"/>
      <c r="F179" s="38"/>
      <c r="G179" s="36"/>
      <c r="H179" s="36"/>
      <c r="I179" s="36"/>
    </row>
    <row r="180" spans="1:9" ht="18.75" x14ac:dyDescent="0.3">
      <c r="A180" s="36"/>
      <c r="B180" s="47"/>
      <c r="C180" s="39"/>
      <c r="D180" s="37"/>
      <c r="E180" s="37"/>
      <c r="F180" s="38"/>
      <c r="G180" s="36"/>
      <c r="H180" s="36"/>
      <c r="I180" s="36"/>
    </row>
    <row r="181" spans="1:9" ht="18.75" x14ac:dyDescent="0.3">
      <c r="A181" s="36"/>
      <c r="B181" s="47"/>
      <c r="C181" s="39"/>
      <c r="D181" s="37"/>
      <c r="E181" s="37"/>
      <c r="F181" s="38"/>
      <c r="G181" s="36"/>
      <c r="H181" s="36"/>
      <c r="I181" s="36"/>
    </row>
    <row r="182" spans="1:9" ht="18.75" x14ac:dyDescent="0.3">
      <c r="A182" s="36"/>
      <c r="B182" s="47"/>
      <c r="C182" s="39"/>
      <c r="D182" s="37"/>
      <c r="E182" s="37"/>
      <c r="F182" s="38"/>
      <c r="G182" s="36"/>
      <c r="H182" s="36"/>
      <c r="I182" s="36"/>
    </row>
    <row r="183" spans="1:9" ht="18.75" x14ac:dyDescent="0.3">
      <c r="A183" s="36"/>
      <c r="B183" s="47"/>
      <c r="C183" s="39"/>
      <c r="D183" s="37"/>
      <c r="E183" s="37"/>
      <c r="F183" s="38"/>
      <c r="G183" s="36"/>
      <c r="H183" s="36"/>
      <c r="I183" s="36"/>
    </row>
    <row r="184" spans="1:9" ht="18.75" x14ac:dyDescent="0.3">
      <c r="A184" s="36"/>
      <c r="B184" s="47"/>
      <c r="C184" s="39"/>
      <c r="D184" s="37"/>
      <c r="E184" s="37"/>
      <c r="F184" s="38"/>
      <c r="G184" s="36"/>
      <c r="H184" s="36"/>
      <c r="I184" s="36"/>
    </row>
    <row r="185" spans="1:9" ht="18.75" x14ac:dyDescent="0.3">
      <c r="A185" s="36"/>
      <c r="B185" s="47"/>
      <c r="C185" s="39"/>
      <c r="D185" s="37"/>
      <c r="E185" s="37"/>
      <c r="F185" s="38"/>
      <c r="G185" s="36"/>
      <c r="H185" s="36"/>
      <c r="I185" s="36"/>
    </row>
    <row r="186" spans="1:9" ht="18.75" x14ac:dyDescent="0.3">
      <c r="A186" s="36"/>
      <c r="B186" s="47"/>
      <c r="C186" s="39"/>
      <c r="D186" s="37"/>
      <c r="E186" s="37"/>
      <c r="F186" s="38"/>
      <c r="G186" s="36"/>
      <c r="H186" s="36"/>
      <c r="I186" s="36"/>
    </row>
    <row r="187" spans="1:9" ht="18.75" x14ac:dyDescent="0.3">
      <c r="A187" s="36"/>
      <c r="B187" s="47"/>
      <c r="C187" s="39"/>
      <c r="D187" s="37"/>
      <c r="E187" s="37"/>
      <c r="F187" s="38"/>
      <c r="G187" s="36"/>
      <c r="H187" s="36"/>
      <c r="I187" s="36"/>
    </row>
    <row r="188" spans="1:9" ht="18.75" x14ac:dyDescent="0.3">
      <c r="A188" s="36"/>
      <c r="B188" s="47"/>
      <c r="C188" s="39"/>
      <c r="D188" s="37"/>
      <c r="E188" s="37"/>
      <c r="F188" s="38"/>
      <c r="G188" s="36"/>
      <c r="H188" s="36"/>
      <c r="I188" s="36"/>
    </row>
    <row r="189" spans="1:9" ht="18.75" x14ac:dyDescent="0.3">
      <c r="A189" s="36"/>
      <c r="B189" s="47"/>
      <c r="C189" s="39"/>
      <c r="D189" s="37"/>
      <c r="E189" s="37"/>
      <c r="F189" s="38"/>
      <c r="G189" s="36"/>
      <c r="H189" s="36"/>
      <c r="I189" s="36"/>
    </row>
    <row r="190" spans="1:9" ht="18.75" x14ac:dyDescent="0.3">
      <c r="A190" s="36"/>
      <c r="B190" s="47"/>
      <c r="C190" s="39"/>
      <c r="D190" s="37"/>
      <c r="E190" s="37"/>
      <c r="F190" s="38"/>
      <c r="G190" s="36"/>
      <c r="H190" s="36"/>
      <c r="I190" s="36"/>
    </row>
    <row r="191" spans="1:9" ht="18.75" x14ac:dyDescent="0.3">
      <c r="A191" s="36"/>
      <c r="B191" s="47"/>
      <c r="C191" s="39"/>
      <c r="D191" s="37"/>
      <c r="E191" s="37"/>
      <c r="F191" s="38"/>
      <c r="G191" s="36"/>
      <c r="H191" s="36"/>
      <c r="I191" s="36"/>
    </row>
    <row r="192" spans="1:9" ht="18.75" x14ac:dyDescent="0.3">
      <c r="A192" s="36"/>
      <c r="B192" s="47"/>
      <c r="C192" s="39"/>
      <c r="D192" s="37"/>
      <c r="E192" s="37"/>
      <c r="F192" s="38"/>
      <c r="G192" s="36"/>
      <c r="H192" s="36"/>
      <c r="I192" s="36"/>
    </row>
    <row r="193" spans="1:9" ht="18.75" x14ac:dyDescent="0.3">
      <c r="A193" s="36"/>
      <c r="B193" s="47"/>
      <c r="C193" s="39"/>
      <c r="D193" s="37"/>
      <c r="E193" s="37"/>
      <c r="F193" s="38"/>
      <c r="G193" s="36"/>
      <c r="H193" s="36"/>
      <c r="I193" s="36"/>
    </row>
    <row r="194" spans="1:9" ht="18.75" x14ac:dyDescent="0.3">
      <c r="A194" s="36"/>
      <c r="B194" s="47"/>
      <c r="C194" s="39"/>
      <c r="D194" s="37"/>
      <c r="E194" s="37"/>
      <c r="F194" s="38"/>
      <c r="G194" s="36"/>
      <c r="H194" s="36"/>
      <c r="I194" s="36"/>
    </row>
    <row r="195" spans="1:9" ht="18.75" x14ac:dyDescent="0.3">
      <c r="A195" s="36"/>
      <c r="B195" s="47"/>
      <c r="C195" s="39"/>
      <c r="D195" s="37"/>
      <c r="E195" s="37"/>
      <c r="F195" s="38"/>
      <c r="G195" s="36"/>
      <c r="H195" s="36"/>
      <c r="I195" s="36"/>
    </row>
    <row r="196" spans="1:9" ht="18.75" x14ac:dyDescent="0.3">
      <c r="A196" s="36"/>
      <c r="B196" s="47"/>
      <c r="C196" s="39"/>
      <c r="D196" s="37"/>
      <c r="E196" s="37"/>
      <c r="F196" s="38"/>
      <c r="G196" s="36"/>
      <c r="H196" s="36"/>
      <c r="I196" s="36"/>
    </row>
    <row r="197" spans="1:9" ht="18.75" x14ac:dyDescent="0.3">
      <c r="A197" s="36"/>
      <c r="B197" s="47"/>
      <c r="C197" s="39"/>
      <c r="D197" s="37"/>
      <c r="E197" s="37"/>
      <c r="F197" s="38"/>
      <c r="G197" s="36"/>
      <c r="H197" s="36"/>
      <c r="I197" s="36"/>
    </row>
    <row r="198" spans="1:9" ht="18.75" x14ac:dyDescent="0.3">
      <c r="A198" s="36"/>
      <c r="B198" s="47"/>
      <c r="C198" s="39"/>
      <c r="D198" s="37"/>
      <c r="E198" s="37"/>
      <c r="F198" s="38"/>
      <c r="G198" s="36"/>
      <c r="H198" s="36"/>
      <c r="I198" s="36"/>
    </row>
    <row r="199" spans="1:9" ht="18.75" x14ac:dyDescent="0.3">
      <c r="A199" s="36"/>
      <c r="B199" s="47"/>
      <c r="C199" s="39"/>
      <c r="D199" s="37"/>
      <c r="E199" s="37"/>
      <c r="F199" s="38"/>
      <c r="G199" s="36"/>
      <c r="H199" s="36"/>
      <c r="I199" s="36"/>
    </row>
    <row r="200" spans="1:9" ht="18.75" x14ac:dyDescent="0.3">
      <c r="A200" s="36"/>
      <c r="B200" s="47"/>
      <c r="C200" s="39"/>
      <c r="D200" s="37"/>
      <c r="E200" s="37"/>
      <c r="F200" s="38"/>
      <c r="G200" s="36"/>
      <c r="H200" s="36"/>
      <c r="I200" s="36"/>
    </row>
    <row r="201" spans="1:9" ht="18.75" x14ac:dyDescent="0.3">
      <c r="A201" s="36"/>
      <c r="B201" s="47"/>
      <c r="C201" s="39"/>
      <c r="D201" s="37"/>
      <c r="E201" s="37"/>
      <c r="F201" s="38"/>
      <c r="G201" s="36"/>
      <c r="H201" s="36"/>
      <c r="I201" s="36"/>
    </row>
    <row r="202" spans="1:9" ht="18.75" x14ac:dyDescent="0.3">
      <c r="A202" s="36"/>
      <c r="B202" s="47"/>
      <c r="C202" s="39"/>
      <c r="D202" s="37"/>
      <c r="E202" s="37"/>
      <c r="F202" s="38"/>
      <c r="G202" s="36"/>
      <c r="H202" s="36"/>
      <c r="I202" s="36"/>
    </row>
    <row r="203" spans="1:9" ht="18.75" x14ac:dyDescent="0.3">
      <c r="A203" s="36"/>
      <c r="B203" s="47"/>
      <c r="C203" s="39"/>
      <c r="D203" s="37"/>
      <c r="E203" s="37"/>
      <c r="F203" s="38"/>
      <c r="G203" s="36"/>
      <c r="H203" s="36"/>
      <c r="I203" s="36"/>
    </row>
    <row r="204" spans="1:9" ht="18.75" x14ac:dyDescent="0.3">
      <c r="A204" s="36"/>
      <c r="B204" s="47"/>
      <c r="C204" s="39"/>
      <c r="D204" s="37"/>
      <c r="E204" s="37"/>
      <c r="F204" s="38"/>
      <c r="G204" s="36"/>
      <c r="H204" s="36"/>
      <c r="I204" s="36"/>
    </row>
    <row r="205" spans="1:9" ht="18.75" x14ac:dyDescent="0.3">
      <c r="A205" s="36"/>
      <c r="B205" s="47"/>
      <c r="C205" s="39"/>
      <c r="D205" s="37"/>
      <c r="E205" s="37"/>
      <c r="F205" s="38"/>
      <c r="G205" s="36"/>
      <c r="H205" s="36"/>
      <c r="I205" s="36"/>
    </row>
    <row r="206" spans="1:9" ht="18.75" x14ac:dyDescent="0.3">
      <c r="A206" s="36"/>
      <c r="B206" s="47"/>
      <c r="C206" s="39"/>
      <c r="D206" s="37"/>
      <c r="E206" s="37"/>
      <c r="F206" s="38"/>
      <c r="G206" s="36"/>
      <c r="H206" s="36"/>
      <c r="I206" s="36"/>
    </row>
    <row r="207" spans="1:9" ht="18.75" x14ac:dyDescent="0.3">
      <c r="A207" s="36"/>
      <c r="B207" s="47"/>
      <c r="C207" s="39"/>
      <c r="D207" s="37"/>
      <c r="E207" s="37"/>
      <c r="F207" s="38"/>
      <c r="G207" s="36"/>
      <c r="H207" s="36"/>
      <c r="I207" s="36"/>
    </row>
    <row r="208" spans="1:9" ht="18.75" x14ac:dyDescent="0.3">
      <c r="A208" s="36"/>
      <c r="B208" s="47"/>
      <c r="C208" s="39"/>
      <c r="D208" s="37"/>
      <c r="E208" s="37"/>
      <c r="F208" s="38"/>
      <c r="G208" s="36"/>
      <c r="H208" s="36"/>
      <c r="I208" s="36"/>
    </row>
    <row r="209" spans="1:9" ht="18.75" x14ac:dyDescent="0.3">
      <c r="A209" s="36"/>
      <c r="B209" s="47"/>
      <c r="C209" s="39"/>
      <c r="D209" s="37"/>
      <c r="E209" s="37"/>
      <c r="F209" s="38"/>
      <c r="G209" s="36"/>
      <c r="H209" s="36"/>
      <c r="I209" s="36"/>
    </row>
    <row r="210" spans="1:9" ht="18.75" x14ac:dyDescent="0.3">
      <c r="A210" s="36"/>
      <c r="B210" s="47"/>
      <c r="C210" s="39"/>
      <c r="D210" s="37"/>
      <c r="E210" s="37"/>
      <c r="F210" s="38"/>
      <c r="G210" s="36"/>
      <c r="H210" s="36"/>
      <c r="I210" s="36"/>
    </row>
    <row r="211" spans="1:9" ht="18.75" x14ac:dyDescent="0.3">
      <c r="A211" s="36"/>
      <c r="B211" s="47"/>
      <c r="C211" s="39"/>
      <c r="D211" s="37"/>
      <c r="E211" s="37"/>
      <c r="F211" s="38"/>
      <c r="G211" s="36"/>
      <c r="H211" s="36"/>
      <c r="I211" s="36"/>
    </row>
    <row r="212" spans="1:9" ht="18.75" x14ac:dyDescent="0.3">
      <c r="A212" s="36"/>
      <c r="B212" s="47"/>
      <c r="C212" s="39"/>
      <c r="D212" s="37"/>
      <c r="E212" s="37"/>
      <c r="F212" s="38"/>
      <c r="G212" s="36"/>
      <c r="H212" s="36"/>
      <c r="I212" s="36"/>
    </row>
    <row r="213" spans="1:9" ht="18.75" x14ac:dyDescent="0.3">
      <c r="A213" s="36"/>
      <c r="B213" s="47"/>
      <c r="C213" s="39"/>
      <c r="D213" s="37"/>
      <c r="E213" s="37"/>
      <c r="F213" s="38"/>
      <c r="G213" s="36"/>
      <c r="H213" s="36"/>
      <c r="I213" s="36"/>
    </row>
    <row r="214" spans="1:9" ht="18.75" x14ac:dyDescent="0.3">
      <c r="A214" s="36"/>
      <c r="B214" s="47"/>
      <c r="C214" s="39"/>
      <c r="D214" s="37"/>
      <c r="E214" s="37"/>
      <c r="F214" s="38"/>
      <c r="G214" s="36"/>
      <c r="H214" s="36"/>
      <c r="I214" s="36"/>
    </row>
    <row r="215" spans="1:9" ht="18.75" x14ac:dyDescent="0.3">
      <c r="A215" s="36"/>
      <c r="B215" s="47"/>
      <c r="C215" s="39"/>
      <c r="D215" s="37"/>
      <c r="E215" s="37"/>
      <c r="F215" s="38"/>
      <c r="G215" s="36"/>
      <c r="H215" s="36"/>
      <c r="I215" s="36"/>
    </row>
    <row r="216" spans="1:9" ht="18.75" x14ac:dyDescent="0.3">
      <c r="A216" s="36"/>
      <c r="B216" s="47"/>
      <c r="C216" s="39"/>
      <c r="D216" s="37"/>
      <c r="E216" s="37"/>
      <c r="F216" s="38"/>
      <c r="G216" s="36"/>
      <c r="H216" s="36"/>
      <c r="I216" s="36"/>
    </row>
    <row r="217" spans="1:9" ht="18.75" x14ac:dyDescent="0.3">
      <c r="A217" s="36"/>
      <c r="B217" s="47"/>
      <c r="C217" s="39"/>
      <c r="D217" s="37"/>
      <c r="E217" s="37"/>
      <c r="F217" s="38"/>
      <c r="G217" s="36"/>
      <c r="H217" s="36"/>
      <c r="I217" s="36"/>
    </row>
    <row r="218" spans="1:9" ht="18.75" x14ac:dyDescent="0.3">
      <c r="A218" s="36"/>
      <c r="B218" s="47"/>
      <c r="C218" s="39"/>
      <c r="D218" s="37"/>
      <c r="E218" s="37"/>
      <c r="F218" s="38"/>
      <c r="G218" s="36"/>
      <c r="H218" s="36"/>
      <c r="I218" s="36"/>
    </row>
    <row r="219" spans="1:9" ht="18.75" x14ac:dyDescent="0.3">
      <c r="A219" s="36"/>
      <c r="B219" s="47"/>
      <c r="C219" s="39"/>
      <c r="D219" s="37"/>
      <c r="E219" s="37"/>
      <c r="F219" s="38"/>
      <c r="G219" s="36"/>
      <c r="H219" s="36"/>
      <c r="I219" s="36"/>
    </row>
    <row r="220" spans="1:9" ht="18.75" x14ac:dyDescent="0.3">
      <c r="A220" s="36"/>
      <c r="B220" s="47"/>
      <c r="C220" s="39"/>
      <c r="D220" s="37"/>
      <c r="E220" s="37"/>
      <c r="F220" s="38"/>
      <c r="G220" s="36"/>
      <c r="H220" s="36"/>
      <c r="I220" s="36"/>
    </row>
    <row r="221" spans="1:9" ht="18.75" x14ac:dyDescent="0.3">
      <c r="A221" s="36"/>
      <c r="B221" s="47"/>
      <c r="C221" s="39"/>
      <c r="D221" s="37"/>
      <c r="E221" s="37"/>
      <c r="F221" s="38"/>
      <c r="G221" s="36"/>
      <c r="H221" s="36"/>
      <c r="I221" s="36"/>
    </row>
    <row r="222" spans="1:9" ht="18.75" x14ac:dyDescent="0.3">
      <c r="A222" s="36"/>
      <c r="B222" s="47"/>
      <c r="C222" s="39"/>
      <c r="D222" s="37"/>
      <c r="E222" s="37"/>
      <c r="F222" s="38"/>
      <c r="G222" s="36"/>
      <c r="H222" s="36"/>
      <c r="I222" s="36"/>
    </row>
    <row r="223" spans="1:9" ht="18.75" x14ac:dyDescent="0.3">
      <c r="A223" s="36"/>
      <c r="B223" s="47"/>
      <c r="C223" s="39"/>
      <c r="D223" s="37"/>
      <c r="E223" s="37"/>
      <c r="F223" s="38"/>
      <c r="G223" s="36"/>
      <c r="H223" s="36"/>
      <c r="I223" s="36"/>
    </row>
    <row r="224" spans="1:9" ht="18.75" x14ac:dyDescent="0.3">
      <c r="A224" s="36"/>
      <c r="B224" s="47"/>
      <c r="C224" s="39"/>
      <c r="D224" s="37"/>
      <c r="E224" s="37"/>
      <c r="F224" s="38"/>
      <c r="G224" s="36"/>
      <c r="H224" s="36"/>
      <c r="I224" s="36"/>
    </row>
    <row r="225" spans="1:9" ht="18.75" x14ac:dyDescent="0.3">
      <c r="A225" s="36"/>
      <c r="B225" s="47"/>
      <c r="C225" s="39"/>
      <c r="D225" s="37"/>
      <c r="E225" s="37"/>
      <c r="F225" s="38"/>
      <c r="G225" s="36"/>
      <c r="H225" s="36"/>
      <c r="I225" s="36"/>
    </row>
    <row r="226" spans="1:9" ht="18.75" x14ac:dyDescent="0.3">
      <c r="A226" s="36"/>
      <c r="B226" s="47"/>
      <c r="C226" s="39"/>
      <c r="D226" s="37"/>
      <c r="E226" s="37"/>
      <c r="F226" s="38"/>
      <c r="G226" s="36"/>
      <c r="H226" s="36"/>
      <c r="I226" s="36"/>
    </row>
    <row r="227" spans="1:9" ht="18.75" x14ac:dyDescent="0.3">
      <c r="A227" s="36"/>
      <c r="B227" s="47"/>
      <c r="C227" s="39"/>
      <c r="D227" s="37"/>
      <c r="E227" s="37"/>
      <c r="F227" s="38"/>
      <c r="G227" s="36"/>
      <c r="H227" s="36"/>
      <c r="I227" s="36"/>
    </row>
    <row r="228" spans="1:9" ht="18.75" x14ac:dyDescent="0.3">
      <c r="A228" s="36"/>
      <c r="B228" s="47"/>
      <c r="C228" s="39"/>
      <c r="D228" s="37"/>
      <c r="E228" s="37"/>
      <c r="F228" s="38"/>
      <c r="G228" s="36"/>
      <c r="H228" s="36"/>
      <c r="I228" s="36"/>
    </row>
    <row r="229" spans="1:9" ht="18.75" x14ac:dyDescent="0.3">
      <c r="A229" s="36"/>
      <c r="B229" s="47"/>
      <c r="C229" s="39"/>
      <c r="D229" s="37"/>
      <c r="E229" s="37"/>
      <c r="F229" s="38"/>
      <c r="G229" s="36"/>
      <c r="H229" s="36"/>
      <c r="I229" s="36"/>
    </row>
    <row r="230" spans="1:9" ht="18.75" x14ac:dyDescent="0.3">
      <c r="A230" s="36"/>
      <c r="B230" s="47"/>
      <c r="C230" s="39"/>
      <c r="D230" s="37"/>
      <c r="E230" s="37"/>
      <c r="F230" s="38"/>
      <c r="G230" s="36"/>
      <c r="H230" s="36"/>
      <c r="I230" s="36"/>
    </row>
    <row r="231" spans="1:9" ht="18.75" x14ac:dyDescent="0.3">
      <c r="A231" s="36"/>
      <c r="B231" s="47"/>
      <c r="C231" s="39"/>
      <c r="D231" s="37"/>
      <c r="E231" s="37"/>
      <c r="F231" s="38"/>
      <c r="G231" s="36"/>
      <c r="H231" s="36"/>
      <c r="I231" s="36"/>
    </row>
    <row r="232" spans="1:9" ht="18.75" x14ac:dyDescent="0.3">
      <c r="A232" s="36"/>
      <c r="B232" s="47"/>
      <c r="C232" s="39"/>
      <c r="D232" s="37"/>
      <c r="E232" s="37"/>
      <c r="F232" s="38"/>
      <c r="G232" s="36"/>
      <c r="H232" s="36"/>
      <c r="I232" s="36"/>
    </row>
    <row r="233" spans="1:9" ht="18.75" x14ac:dyDescent="0.3">
      <c r="A233" s="36"/>
      <c r="B233" s="47"/>
      <c r="C233" s="39"/>
      <c r="D233" s="37"/>
      <c r="E233" s="37"/>
      <c r="F233" s="38"/>
      <c r="G233" s="36"/>
      <c r="H233" s="36"/>
      <c r="I233" s="36"/>
    </row>
    <row r="234" spans="1:9" ht="18.75" x14ac:dyDescent="0.3">
      <c r="A234" s="36"/>
      <c r="B234" s="47"/>
      <c r="C234" s="39"/>
      <c r="D234" s="37"/>
      <c r="E234" s="37"/>
      <c r="F234" s="38"/>
      <c r="G234" s="36"/>
      <c r="H234" s="36"/>
      <c r="I234" s="36"/>
    </row>
    <row r="235" spans="1:9" ht="18.75" x14ac:dyDescent="0.3">
      <c r="A235" s="36"/>
      <c r="B235" s="47"/>
      <c r="C235" s="39"/>
      <c r="D235" s="37"/>
      <c r="E235" s="37"/>
      <c r="F235" s="38"/>
      <c r="G235" s="36"/>
      <c r="H235" s="36"/>
      <c r="I235" s="36"/>
    </row>
    <row r="236" spans="1:9" ht="18.75" x14ac:dyDescent="0.3">
      <c r="A236" s="36"/>
      <c r="B236" s="47"/>
      <c r="C236" s="39"/>
      <c r="D236" s="37"/>
      <c r="E236" s="37"/>
      <c r="F236" s="38"/>
      <c r="G236" s="36"/>
      <c r="H236" s="36"/>
      <c r="I236" s="36"/>
    </row>
    <row r="237" spans="1:9" ht="18.75" x14ac:dyDescent="0.3">
      <c r="A237" s="36"/>
      <c r="B237" s="47"/>
      <c r="C237" s="39"/>
      <c r="D237" s="37"/>
      <c r="E237" s="37"/>
      <c r="F237" s="38"/>
      <c r="G237" s="36"/>
      <c r="H237" s="36"/>
      <c r="I237" s="36"/>
    </row>
    <row r="238" spans="1:9" ht="18.75" x14ac:dyDescent="0.3">
      <c r="A238" s="36"/>
      <c r="B238" s="47"/>
      <c r="C238" s="39"/>
      <c r="D238" s="37"/>
      <c r="E238" s="37"/>
      <c r="F238" s="38"/>
      <c r="G238" s="36"/>
      <c r="H238" s="36"/>
      <c r="I238" s="36"/>
    </row>
    <row r="239" spans="1:9" ht="18.75" x14ac:dyDescent="0.3">
      <c r="A239" s="36"/>
      <c r="B239" s="47"/>
      <c r="C239" s="39"/>
      <c r="D239" s="37"/>
      <c r="E239" s="37"/>
      <c r="F239" s="38"/>
      <c r="G239" s="36"/>
      <c r="H239" s="36"/>
      <c r="I239" s="36"/>
    </row>
    <row r="240" spans="1:9" ht="18.75" x14ac:dyDescent="0.3">
      <c r="A240" s="36"/>
      <c r="B240" s="47"/>
      <c r="C240" s="39"/>
      <c r="D240" s="37"/>
      <c r="E240" s="37"/>
      <c r="F240" s="38"/>
      <c r="G240" s="36"/>
      <c r="H240" s="36"/>
      <c r="I240" s="36"/>
    </row>
    <row r="241" spans="1:9" ht="18.75" x14ac:dyDescent="0.3">
      <c r="A241" s="36"/>
      <c r="B241" s="47"/>
      <c r="C241" s="39"/>
      <c r="D241" s="37"/>
      <c r="E241" s="37"/>
      <c r="F241" s="38"/>
      <c r="G241" s="36"/>
      <c r="H241" s="36"/>
      <c r="I241" s="36"/>
    </row>
    <row r="242" spans="1:9" ht="18.75" x14ac:dyDescent="0.3">
      <c r="A242" s="36"/>
      <c r="B242" s="47"/>
      <c r="C242" s="39"/>
      <c r="D242" s="37"/>
      <c r="E242" s="37"/>
      <c r="F242" s="38"/>
      <c r="G242" s="36"/>
      <c r="H242" s="36"/>
      <c r="I242" s="36"/>
    </row>
    <row r="243" spans="1:9" ht="18.75" x14ac:dyDescent="0.3">
      <c r="A243" s="36"/>
      <c r="B243" s="47"/>
      <c r="C243" s="39"/>
      <c r="D243" s="37"/>
      <c r="E243" s="37"/>
      <c r="F243" s="38"/>
      <c r="G243" s="36"/>
      <c r="H243" s="36"/>
      <c r="I243" s="36"/>
    </row>
    <row r="244" spans="1:9" ht="18.75" x14ac:dyDescent="0.3">
      <c r="A244" s="36"/>
      <c r="B244" s="47"/>
      <c r="C244" s="39"/>
      <c r="D244" s="37"/>
      <c r="E244" s="37"/>
      <c r="F244" s="38"/>
      <c r="G244" s="36"/>
      <c r="H244" s="36"/>
      <c r="I244" s="36"/>
    </row>
    <row r="245" spans="1:9" ht="18.75" x14ac:dyDescent="0.3">
      <c r="A245" s="36"/>
      <c r="B245" s="47"/>
      <c r="C245" s="39"/>
      <c r="D245" s="37"/>
      <c r="E245" s="37"/>
      <c r="F245" s="38"/>
      <c r="G245" s="36"/>
      <c r="H245" s="36"/>
      <c r="I245" s="36"/>
    </row>
    <row r="246" spans="1:9" ht="18.75" x14ac:dyDescent="0.3">
      <c r="A246" s="36"/>
      <c r="B246" s="47"/>
      <c r="C246" s="39"/>
      <c r="D246" s="37"/>
      <c r="E246" s="37"/>
      <c r="F246" s="38"/>
      <c r="G246" s="36"/>
      <c r="H246" s="36"/>
      <c r="I246" s="36"/>
    </row>
    <row r="247" spans="1:9" ht="18.75" x14ac:dyDescent="0.3">
      <c r="A247" s="36"/>
      <c r="B247" s="47"/>
      <c r="C247" s="39"/>
      <c r="D247" s="37"/>
      <c r="E247" s="37"/>
      <c r="F247" s="38"/>
      <c r="G247" s="36"/>
      <c r="H247" s="36"/>
      <c r="I247" s="36"/>
    </row>
    <row r="248" spans="1:9" ht="18.75" x14ac:dyDescent="0.3">
      <c r="A248" s="36"/>
      <c r="B248" s="47"/>
      <c r="C248" s="39"/>
      <c r="D248" s="37"/>
      <c r="E248" s="37"/>
      <c r="F248" s="38"/>
      <c r="G248" s="36"/>
      <c r="H248" s="36"/>
      <c r="I248" s="36"/>
    </row>
    <row r="249" spans="1:9" ht="18.75" x14ac:dyDescent="0.3">
      <c r="A249" s="36"/>
      <c r="B249" s="47"/>
      <c r="C249" s="39"/>
      <c r="D249" s="37"/>
      <c r="E249" s="37"/>
      <c r="F249" s="38"/>
      <c r="G249" s="36"/>
      <c r="H249" s="36"/>
      <c r="I249" s="36"/>
    </row>
    <row r="250" spans="1:9" ht="18.75" x14ac:dyDescent="0.3">
      <c r="A250" s="36"/>
      <c r="B250" s="47"/>
      <c r="C250" s="39"/>
      <c r="D250" s="37"/>
      <c r="E250" s="37"/>
      <c r="F250" s="38"/>
      <c r="G250" s="36"/>
      <c r="H250" s="36"/>
      <c r="I250" s="36"/>
    </row>
    <row r="251" spans="1:9" ht="18.75" x14ac:dyDescent="0.3">
      <c r="A251" s="36"/>
      <c r="B251" s="47"/>
      <c r="C251" s="39"/>
      <c r="D251" s="37"/>
      <c r="E251" s="37"/>
      <c r="F251" s="38"/>
      <c r="G251" s="36"/>
      <c r="H251" s="36"/>
      <c r="I251" s="36"/>
    </row>
    <row r="252" spans="1:9" ht="18.75" x14ac:dyDescent="0.3">
      <c r="A252" s="36"/>
      <c r="B252" s="47"/>
      <c r="C252" s="39"/>
      <c r="D252" s="37"/>
      <c r="E252" s="37"/>
      <c r="F252" s="38"/>
      <c r="G252" s="36"/>
      <c r="H252" s="36"/>
      <c r="I252" s="36"/>
    </row>
    <row r="253" spans="1:9" ht="18.75" x14ac:dyDescent="0.3">
      <c r="A253" s="36"/>
      <c r="B253" s="47"/>
      <c r="C253" s="39"/>
      <c r="D253" s="37"/>
      <c r="E253" s="37"/>
      <c r="F253" s="38"/>
      <c r="G253" s="36"/>
      <c r="H253" s="36"/>
      <c r="I253" s="36"/>
    </row>
    <row r="254" spans="1:9" ht="18.75" x14ac:dyDescent="0.3">
      <c r="A254" s="36"/>
      <c r="B254" s="47"/>
      <c r="C254" s="39"/>
      <c r="D254" s="37"/>
      <c r="E254" s="37"/>
      <c r="F254" s="38"/>
      <c r="G254" s="36"/>
      <c r="H254" s="36"/>
      <c r="I254" s="36"/>
    </row>
    <row r="255" spans="1:9" ht="18.75" x14ac:dyDescent="0.3">
      <c r="A255" s="36"/>
      <c r="B255" s="47"/>
      <c r="C255" s="39"/>
      <c r="D255" s="37"/>
      <c r="E255" s="37"/>
      <c r="F255" s="38"/>
      <c r="G255" s="36"/>
      <c r="H255" s="36"/>
      <c r="I255" s="36"/>
    </row>
    <row r="256" spans="1:9" ht="18.75" x14ac:dyDescent="0.3">
      <c r="A256" s="36"/>
      <c r="B256" s="47"/>
      <c r="C256" s="39"/>
      <c r="D256" s="37"/>
      <c r="E256" s="37"/>
      <c r="F256" s="38"/>
      <c r="G256" s="36"/>
      <c r="H256" s="36"/>
      <c r="I256" s="36"/>
    </row>
    <row r="257" spans="1:7" ht="18.75" x14ac:dyDescent="0.3">
      <c r="A257" s="40"/>
      <c r="B257" s="47"/>
      <c r="C257" s="39"/>
      <c r="D257" s="37"/>
      <c r="E257" s="37"/>
      <c r="F257" s="41"/>
      <c r="G257" s="36"/>
    </row>
    <row r="258" spans="1:7" ht="18.75" x14ac:dyDescent="0.3">
      <c r="A258" s="40"/>
      <c r="B258" s="47"/>
      <c r="C258" s="39"/>
      <c r="D258" s="37"/>
      <c r="E258" s="37"/>
      <c r="F258" s="41"/>
      <c r="G258" s="36"/>
    </row>
    <row r="259" spans="1:7" ht="18.75" x14ac:dyDescent="0.3">
      <c r="A259" s="40"/>
      <c r="B259" s="47"/>
      <c r="C259" s="39"/>
      <c r="D259" s="37"/>
      <c r="E259" s="37"/>
      <c r="F259" s="41"/>
      <c r="G259" s="36"/>
    </row>
    <row r="260" spans="1:7" ht="18.75" x14ac:dyDescent="0.3">
      <c r="A260" s="40"/>
      <c r="B260" s="47"/>
      <c r="C260" s="39"/>
      <c r="D260" s="37"/>
      <c r="E260" s="37"/>
      <c r="F260" s="41"/>
      <c r="G260" s="36"/>
    </row>
    <row r="261" spans="1:7" ht="18.75" x14ac:dyDescent="0.3">
      <c r="A261" s="40"/>
      <c r="B261" s="47"/>
      <c r="C261" s="39"/>
      <c r="D261" s="37"/>
      <c r="E261" s="37"/>
      <c r="F261" s="41"/>
      <c r="G261" s="36"/>
    </row>
    <row r="262" spans="1:7" ht="18.75" x14ac:dyDescent="0.3">
      <c r="A262" s="40"/>
      <c r="B262" s="47"/>
      <c r="C262" s="39"/>
      <c r="D262" s="37"/>
      <c r="E262" s="37"/>
      <c r="F262" s="41"/>
      <c r="G262" s="36"/>
    </row>
    <row r="263" spans="1:7" ht="18.75" x14ac:dyDescent="0.3">
      <c r="A263" s="40"/>
      <c r="B263" s="47"/>
      <c r="C263" s="39"/>
      <c r="D263" s="37"/>
      <c r="E263" s="37"/>
      <c r="F263" s="41"/>
      <c r="G263" s="36"/>
    </row>
    <row r="264" spans="1:7" ht="18.75" x14ac:dyDescent="0.3">
      <c r="A264" s="40"/>
      <c r="B264" s="47"/>
      <c r="C264" s="39"/>
      <c r="D264" s="37"/>
      <c r="E264" s="37"/>
      <c r="F264" s="41"/>
      <c r="G264" s="36"/>
    </row>
    <row r="265" spans="1:7" ht="18.75" x14ac:dyDescent="0.3">
      <c r="A265" s="40"/>
      <c r="B265" s="47"/>
      <c r="C265" s="39"/>
      <c r="D265" s="37"/>
      <c r="E265" s="37"/>
      <c r="F265" s="41"/>
      <c r="G265" s="36"/>
    </row>
    <row r="266" spans="1:7" ht="18.75" x14ac:dyDescent="0.3">
      <c r="A266" s="40"/>
      <c r="B266" s="47"/>
      <c r="C266" s="39"/>
      <c r="D266" s="37"/>
      <c r="E266" s="37"/>
      <c r="F266" s="41"/>
      <c r="G266" s="36"/>
    </row>
    <row r="267" spans="1:7" ht="18.75" x14ac:dyDescent="0.3">
      <c r="A267" s="40"/>
      <c r="B267" s="47"/>
      <c r="C267" s="39"/>
      <c r="D267" s="37"/>
      <c r="E267" s="37"/>
      <c r="F267" s="41"/>
      <c r="G267" s="36"/>
    </row>
    <row r="268" spans="1:7" ht="18.75" x14ac:dyDescent="0.3">
      <c r="A268" s="40"/>
      <c r="B268" s="47"/>
      <c r="C268" s="39"/>
      <c r="D268" s="37"/>
      <c r="E268" s="37"/>
      <c r="F268" s="41"/>
      <c r="G268" s="36"/>
    </row>
    <row r="269" spans="1:7" ht="18.75" x14ac:dyDescent="0.3">
      <c r="A269" s="40"/>
      <c r="B269" s="47"/>
      <c r="C269" s="39"/>
      <c r="D269" s="37"/>
      <c r="E269" s="37"/>
      <c r="F269" s="41"/>
      <c r="G269" s="36"/>
    </row>
    <row r="270" spans="1:7" ht="18.75" x14ac:dyDescent="0.3">
      <c r="A270" s="40"/>
      <c r="B270" s="47"/>
      <c r="C270" s="39"/>
      <c r="D270" s="37"/>
      <c r="E270" s="37"/>
      <c r="F270" s="41"/>
      <c r="G270" s="36"/>
    </row>
    <row r="271" spans="1:7" ht="18.75" x14ac:dyDescent="0.3">
      <c r="A271" s="40"/>
      <c r="B271" s="47"/>
      <c r="C271" s="39"/>
      <c r="D271" s="37"/>
      <c r="E271" s="37"/>
      <c r="F271" s="41"/>
      <c r="G271" s="36"/>
    </row>
    <row r="272" spans="1:7" ht="18.75" x14ac:dyDescent="0.3">
      <c r="A272" s="40"/>
      <c r="B272" s="47"/>
      <c r="C272" s="39"/>
      <c r="D272" s="37"/>
      <c r="E272" s="37"/>
      <c r="F272" s="41"/>
      <c r="G272" s="36"/>
    </row>
    <row r="273" spans="1:7" ht="18.75" x14ac:dyDescent="0.3">
      <c r="A273" s="40"/>
      <c r="B273" s="47"/>
      <c r="C273" s="39"/>
      <c r="D273" s="37"/>
      <c r="E273" s="37"/>
      <c r="F273" s="41"/>
      <c r="G273" s="36"/>
    </row>
    <row r="274" spans="1:7" ht="18.75" x14ac:dyDescent="0.3">
      <c r="A274" s="40"/>
      <c r="B274" s="47"/>
      <c r="C274" s="39"/>
      <c r="D274" s="37"/>
      <c r="E274" s="37"/>
      <c r="F274" s="41"/>
      <c r="G274" s="36"/>
    </row>
  </sheetData>
  <mergeCells count="2">
    <mergeCell ref="C2:G2"/>
    <mergeCell ref="D1:G1"/>
  </mergeCells>
  <phoneticPr fontId="6" type="noConversion"/>
  <hyperlinks>
    <hyperlink ref="C2:G2" r:id="rId1" display="EYLF Developmental Milestone(link)" xr:uid="{D48A27A6-928C-41D3-9648-1DB3E80620F2}"/>
  </hyperlinks>
  <pageMargins left="0.7" right="0.7" top="0.75" bottom="0.75" header="0.3" footer="0.3"/>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9368674A-302F-4414-8769-5E63DEABDC4E}">
          <x14:formula1>
            <xm:f>'Hidden Sheet, Store'!$H$3:$H$8</xm:f>
          </x14:formula1>
          <xm:sqref>C4:C36</xm:sqref>
        </x14:dataValidation>
        <x14:dataValidation type="list" allowBlank="1" showInputMessage="1" showErrorMessage="1" xr:uid="{7E2A26F4-A544-48F0-A799-FC65ED764739}">
          <x14:formula1>
            <xm:f>'Hidden Sheet, Store'!$I$3:$I$8</xm:f>
          </x14:formula1>
          <xm:sqref>D4:D36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AF24C-5CD0-4DFA-8911-FF7A69245B01}">
  <sheetPr codeName="Sheet3"/>
  <dimension ref="A1"/>
  <sheetViews>
    <sheetView zoomScale="84" zoomScaleNormal="84" workbookViewId="0">
      <selection activeCell="M55" sqref="M55"/>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59CB4-2193-4571-8006-6E704323F0BC}">
  <sheetPr codeName="Sheet1"/>
  <dimension ref="A1:Q161"/>
  <sheetViews>
    <sheetView zoomScale="80" zoomScaleNormal="80" workbookViewId="0">
      <pane ySplit="3" topLeftCell="A4" activePane="bottomLeft" state="frozen"/>
      <selection pane="bottomLeft" activeCell="H4" sqref="H4"/>
    </sheetView>
  </sheetViews>
  <sheetFormatPr defaultRowHeight="15" x14ac:dyDescent="0.25"/>
  <cols>
    <col min="1" max="1" width="14.28515625" style="17" customWidth="1"/>
    <col min="2" max="2" width="24.42578125" style="62" customWidth="1"/>
    <col min="3" max="3" width="14.28515625" style="18" customWidth="1"/>
    <col min="4" max="4" width="16.7109375" style="19" customWidth="1"/>
    <col min="5" max="5" width="24.42578125" style="21" bestFit="1" customWidth="1"/>
    <col min="6" max="6" width="59.42578125" style="20" customWidth="1"/>
    <col min="7" max="7" width="18.140625" style="20" customWidth="1"/>
    <col min="8" max="8" width="22.5703125" style="20" customWidth="1"/>
    <col min="9" max="9" width="19.42578125" style="20" customWidth="1"/>
    <col min="10" max="10" width="19.140625" style="20" customWidth="1"/>
    <col min="11" max="11" width="26.5703125" style="20" customWidth="1"/>
    <col min="12" max="12" width="3" style="20" hidden="1" customWidth="1"/>
    <col min="13" max="17" width="1.7109375" style="86" customWidth="1"/>
    <col min="18" max="16384" width="9.140625" style="20"/>
  </cols>
  <sheetData>
    <row r="1" spans="1:17" ht="29.25" thickBot="1" x14ac:dyDescent="0.5">
      <c r="E1" s="103" t="s">
        <v>42</v>
      </c>
      <c r="F1" s="104"/>
      <c r="G1" s="104"/>
      <c r="H1" s="104"/>
      <c r="I1" s="104"/>
      <c r="J1" s="105"/>
      <c r="K1" s="24"/>
    </row>
    <row r="2" spans="1:17" ht="24.75" thickBot="1" x14ac:dyDescent="0.45">
      <c r="A2" s="5" t="s">
        <v>49</v>
      </c>
      <c r="B2" s="4">
        <f ca="1">YEAR(TODAY())</f>
        <v>2025</v>
      </c>
      <c r="E2" s="25"/>
      <c r="F2" s="24"/>
      <c r="G2" s="100" t="s">
        <v>52</v>
      </c>
      <c r="H2" s="101"/>
      <c r="I2" s="101"/>
      <c r="J2" s="101"/>
      <c r="K2" s="102"/>
    </row>
    <row r="3" spans="1:17" s="22" customFormat="1" ht="20.100000000000001" customHeight="1" x14ac:dyDescent="0.45">
      <c r="A3" s="26" t="s">
        <v>43</v>
      </c>
      <c r="B3" s="27" t="s">
        <v>0</v>
      </c>
      <c r="C3" s="27" t="s">
        <v>27</v>
      </c>
      <c r="D3" s="28" t="s">
        <v>2</v>
      </c>
      <c r="E3" s="28" t="s">
        <v>4</v>
      </c>
      <c r="F3" s="29" t="s">
        <v>28</v>
      </c>
      <c r="G3" s="29" t="s">
        <v>21</v>
      </c>
      <c r="H3" s="29" t="s">
        <v>22</v>
      </c>
      <c r="I3" s="29" t="s">
        <v>48</v>
      </c>
      <c r="J3" s="29" t="s">
        <v>23</v>
      </c>
      <c r="K3" s="30" t="s">
        <v>24</v>
      </c>
      <c r="M3" s="85"/>
      <c r="N3" s="85"/>
      <c r="O3" s="85"/>
      <c r="P3" s="85"/>
      <c r="Q3" s="85"/>
    </row>
    <row r="4" spans="1:17" s="71" customFormat="1" ht="27" customHeight="1" x14ac:dyDescent="0.4">
      <c r="A4" s="63">
        <f t="shared" ref="A4:A53" si="0">IF(B4="","", WEEKNUM(B4,2))</f>
        <v>2</v>
      </c>
      <c r="B4" s="64">
        <v>45663</v>
      </c>
      <c r="C4" s="64" t="str">
        <f>IF(B4="","",TEXT(Activity_EYLFOUTCOME[[#This Row],[DATE]],"DDDD"))</f>
        <v>Monday</v>
      </c>
      <c r="D4" s="65">
        <v>1</v>
      </c>
      <c r="E4" s="66" t="s">
        <v>7</v>
      </c>
      <c r="F4" s="67" t="s">
        <v>1</v>
      </c>
      <c r="G4" s="68" t="s">
        <v>25</v>
      </c>
      <c r="H4" s="68" t="s">
        <v>25</v>
      </c>
      <c r="I4" s="68" t="s">
        <v>25</v>
      </c>
      <c r="J4" s="68"/>
      <c r="K4" s="70" t="s">
        <v>25</v>
      </c>
      <c r="M4" s="87" t="str">
        <f>IF(G4="✓","█","")</f>
        <v>█</v>
      </c>
      <c r="N4" s="87" t="str">
        <f>IF(H4="✓","█","")</f>
        <v>█</v>
      </c>
      <c r="O4" s="87" t="str">
        <f>IF(I4="✓","█","")</f>
        <v>█</v>
      </c>
      <c r="P4" s="87" t="str">
        <f>IF(J4="✓","█","")</f>
        <v/>
      </c>
      <c r="Q4" s="87" t="str">
        <f>IF(K4="✓","█","")</f>
        <v>█</v>
      </c>
    </row>
    <row r="5" spans="1:17" s="71" customFormat="1" ht="27" customHeight="1" x14ac:dyDescent="0.4">
      <c r="A5" s="63"/>
      <c r="B5" s="64"/>
      <c r="C5" s="64"/>
      <c r="D5" s="65"/>
      <c r="E5" s="66"/>
      <c r="F5" s="67"/>
      <c r="G5" s="68"/>
      <c r="H5" s="68"/>
      <c r="I5" s="68"/>
      <c r="J5" s="68"/>
      <c r="K5" s="70"/>
      <c r="M5" s="87" t="str">
        <f t="shared" ref="M5:M68" si="1">IF(G5="✓","█","")</f>
        <v/>
      </c>
      <c r="N5" s="87" t="str">
        <f t="shared" ref="N5:N68" si="2">IF(H5="✓","█","")</f>
        <v/>
      </c>
      <c r="O5" s="87" t="str">
        <f t="shared" ref="O5:O68" si="3">IF(I5="✓","█","")</f>
        <v/>
      </c>
      <c r="P5" s="87" t="str">
        <f t="shared" ref="P5:P68" si="4">IF(J5="✓","█","")</f>
        <v/>
      </c>
      <c r="Q5" s="87" t="str">
        <f t="shared" ref="Q5:Q68" si="5">IF(K5="✓","█","")</f>
        <v/>
      </c>
    </row>
    <row r="6" spans="1:17" s="71" customFormat="1" ht="27" customHeight="1" x14ac:dyDescent="0.4">
      <c r="A6" s="63"/>
      <c r="B6" s="64"/>
      <c r="C6" s="64"/>
      <c r="D6" s="65"/>
      <c r="E6" s="66"/>
      <c r="F6" s="67"/>
      <c r="G6" s="68"/>
      <c r="H6" s="68"/>
      <c r="I6" s="68"/>
      <c r="J6" s="68"/>
      <c r="K6" s="72"/>
      <c r="M6" s="87" t="str">
        <f t="shared" si="1"/>
        <v/>
      </c>
      <c r="N6" s="87" t="str">
        <f t="shared" si="2"/>
        <v/>
      </c>
      <c r="O6" s="87" t="str">
        <f t="shared" si="3"/>
        <v/>
      </c>
      <c r="P6" s="87" t="str">
        <f t="shared" si="4"/>
        <v/>
      </c>
      <c r="Q6" s="87" t="str">
        <f t="shared" si="5"/>
        <v/>
      </c>
    </row>
    <row r="7" spans="1:17" s="71" customFormat="1" ht="27" customHeight="1" x14ac:dyDescent="0.4">
      <c r="A7" s="63"/>
      <c r="B7" s="64"/>
      <c r="C7" s="64"/>
      <c r="D7" s="65"/>
      <c r="E7" s="66"/>
      <c r="F7" s="67"/>
      <c r="G7" s="68"/>
      <c r="H7" s="68"/>
      <c r="I7" s="68"/>
      <c r="J7" s="69"/>
      <c r="K7" s="72"/>
      <c r="M7" s="87" t="str">
        <f t="shared" si="1"/>
        <v/>
      </c>
      <c r="N7" s="87" t="str">
        <f t="shared" si="2"/>
        <v/>
      </c>
      <c r="O7" s="87" t="str">
        <f t="shared" si="3"/>
        <v/>
      </c>
      <c r="P7" s="87" t="str">
        <f t="shared" si="4"/>
        <v/>
      </c>
      <c r="Q7" s="87" t="str">
        <f t="shared" si="5"/>
        <v/>
      </c>
    </row>
    <row r="8" spans="1:17" s="71" customFormat="1" ht="27" customHeight="1" x14ac:dyDescent="0.4">
      <c r="A8" s="63"/>
      <c r="B8" s="64"/>
      <c r="C8" s="64"/>
      <c r="D8" s="65"/>
      <c r="E8" s="66"/>
      <c r="F8" s="67"/>
      <c r="G8" s="73"/>
      <c r="H8" s="73"/>
      <c r="I8" s="73"/>
      <c r="J8" s="73"/>
      <c r="K8" s="74"/>
      <c r="M8" s="87" t="str">
        <f t="shared" si="1"/>
        <v/>
      </c>
      <c r="N8" s="87" t="str">
        <f t="shared" si="2"/>
        <v/>
      </c>
      <c r="O8" s="87" t="str">
        <f t="shared" si="3"/>
        <v/>
      </c>
      <c r="P8" s="87" t="str">
        <f t="shared" si="4"/>
        <v/>
      </c>
      <c r="Q8" s="87" t="str">
        <f t="shared" si="5"/>
        <v/>
      </c>
    </row>
    <row r="9" spans="1:17" s="71" customFormat="1" ht="27" customHeight="1" x14ac:dyDescent="0.4">
      <c r="A9" s="63" t="str">
        <f t="shared" si="0"/>
        <v/>
      </c>
      <c r="B9" s="64"/>
      <c r="C9" s="64" t="str">
        <f>IF(B9="","",TEXT(Activity_EYLFOUTCOME[[#This Row],[DATE]],"DDDD"))</f>
        <v/>
      </c>
      <c r="D9" s="65"/>
      <c r="E9" s="66"/>
      <c r="F9" s="67"/>
      <c r="G9" s="73"/>
      <c r="H9" s="73"/>
      <c r="I9" s="73"/>
      <c r="J9" s="75"/>
      <c r="K9" s="76"/>
      <c r="M9" s="87" t="str">
        <f t="shared" si="1"/>
        <v/>
      </c>
      <c r="N9" s="87" t="str">
        <f t="shared" si="2"/>
        <v/>
      </c>
      <c r="O9" s="87" t="str">
        <f t="shared" si="3"/>
        <v/>
      </c>
      <c r="P9" s="87" t="str">
        <f t="shared" si="4"/>
        <v/>
      </c>
      <c r="Q9" s="87" t="str">
        <f t="shared" si="5"/>
        <v/>
      </c>
    </row>
    <row r="10" spans="1:17" s="71" customFormat="1" ht="27" customHeight="1" x14ac:dyDescent="0.4">
      <c r="A10" s="63" t="str">
        <f t="shared" si="0"/>
        <v/>
      </c>
      <c r="B10" s="64"/>
      <c r="C10" s="64" t="str">
        <f>IF(B10="","",TEXT(Activity_EYLFOUTCOME[[#This Row],[DATE]],"DDDD"))</f>
        <v/>
      </c>
      <c r="D10" s="65"/>
      <c r="E10" s="66"/>
      <c r="F10" s="67"/>
      <c r="G10" s="73"/>
      <c r="H10" s="73"/>
      <c r="I10" s="73"/>
      <c r="J10" s="75"/>
      <c r="K10" s="76"/>
      <c r="M10" s="87" t="str">
        <f t="shared" si="1"/>
        <v/>
      </c>
      <c r="N10" s="87" t="str">
        <f t="shared" si="2"/>
        <v/>
      </c>
      <c r="O10" s="87" t="str">
        <f t="shared" si="3"/>
        <v/>
      </c>
      <c r="P10" s="87" t="str">
        <f t="shared" si="4"/>
        <v/>
      </c>
      <c r="Q10" s="87" t="str">
        <f t="shared" si="5"/>
        <v/>
      </c>
    </row>
    <row r="11" spans="1:17" s="71" customFormat="1" ht="27" customHeight="1" x14ac:dyDescent="0.4">
      <c r="A11" s="63" t="str">
        <f t="shared" si="0"/>
        <v/>
      </c>
      <c r="B11" s="64"/>
      <c r="C11" s="64" t="str">
        <f>IF(B11="","",TEXT(Activity_EYLFOUTCOME[[#This Row],[DATE]],"DDDD"))</f>
        <v/>
      </c>
      <c r="D11" s="65"/>
      <c r="E11" s="66"/>
      <c r="F11" s="67"/>
      <c r="G11" s="75"/>
      <c r="H11" s="73"/>
      <c r="I11" s="75"/>
      <c r="J11" s="75"/>
      <c r="K11" s="76"/>
      <c r="M11" s="87" t="str">
        <f t="shared" si="1"/>
        <v/>
      </c>
      <c r="N11" s="87" t="str">
        <f t="shared" si="2"/>
        <v/>
      </c>
      <c r="O11" s="87" t="str">
        <f t="shared" si="3"/>
        <v/>
      </c>
      <c r="P11" s="87" t="str">
        <f t="shared" si="4"/>
        <v/>
      </c>
      <c r="Q11" s="87" t="str">
        <f t="shared" si="5"/>
        <v/>
      </c>
    </row>
    <row r="12" spans="1:17" s="71" customFormat="1" ht="27" customHeight="1" x14ac:dyDescent="0.4">
      <c r="A12" s="77" t="str">
        <f t="shared" si="0"/>
        <v/>
      </c>
      <c r="B12" s="78"/>
      <c r="C12" s="78" t="str">
        <f>IF(B12="","",TEXT(Activity_EYLFOUTCOME[[#This Row],[DATE]],"DDDD"))</f>
        <v/>
      </c>
      <c r="D12" s="79"/>
      <c r="E12" s="80"/>
      <c r="F12" s="81"/>
      <c r="G12" s="75"/>
      <c r="H12" s="73"/>
      <c r="I12" s="73"/>
      <c r="J12" s="75"/>
      <c r="K12" s="76"/>
      <c r="M12" s="87" t="str">
        <f t="shared" si="1"/>
        <v/>
      </c>
      <c r="N12" s="87" t="str">
        <f t="shared" si="2"/>
        <v/>
      </c>
      <c r="O12" s="87" t="str">
        <f t="shared" si="3"/>
        <v/>
      </c>
      <c r="P12" s="87" t="str">
        <f t="shared" si="4"/>
        <v/>
      </c>
      <c r="Q12" s="87" t="str">
        <f t="shared" si="5"/>
        <v/>
      </c>
    </row>
    <row r="13" spans="1:17" s="71" customFormat="1" ht="27" customHeight="1" x14ac:dyDescent="0.4">
      <c r="A13" s="77" t="str">
        <f t="shared" si="0"/>
        <v/>
      </c>
      <c r="B13" s="78"/>
      <c r="C13" s="78" t="str">
        <f>IF(B13="","",TEXT(Activity_EYLFOUTCOME[[#This Row],[DATE]],"DDDD"))</f>
        <v/>
      </c>
      <c r="D13" s="79"/>
      <c r="E13" s="80"/>
      <c r="F13" s="81"/>
      <c r="G13" s="75"/>
      <c r="H13" s="75"/>
      <c r="I13" s="75"/>
      <c r="J13" s="75"/>
      <c r="K13" s="76"/>
      <c r="M13" s="87" t="str">
        <f t="shared" si="1"/>
        <v/>
      </c>
      <c r="N13" s="87" t="str">
        <f t="shared" si="2"/>
        <v/>
      </c>
      <c r="O13" s="87" t="str">
        <f t="shared" si="3"/>
        <v/>
      </c>
      <c r="P13" s="87" t="str">
        <f t="shared" si="4"/>
        <v/>
      </c>
      <c r="Q13" s="87" t="str">
        <f t="shared" si="5"/>
        <v/>
      </c>
    </row>
    <row r="14" spans="1:17" s="71" customFormat="1" ht="27" customHeight="1" x14ac:dyDescent="0.4">
      <c r="A14" s="77" t="str">
        <f t="shared" si="0"/>
        <v/>
      </c>
      <c r="B14" s="78"/>
      <c r="C14" s="78" t="str">
        <f>IF(B14="","",TEXT(Activity_EYLFOUTCOME[[#This Row],[DATE]],"DDDD"))</f>
        <v/>
      </c>
      <c r="D14" s="79"/>
      <c r="E14" s="80"/>
      <c r="F14" s="81"/>
      <c r="G14" s="75"/>
      <c r="H14" s="75"/>
      <c r="I14" s="75"/>
      <c r="J14" s="75"/>
      <c r="K14" s="76"/>
      <c r="M14" s="87" t="str">
        <f t="shared" si="1"/>
        <v/>
      </c>
      <c r="N14" s="87" t="str">
        <f t="shared" si="2"/>
        <v/>
      </c>
      <c r="O14" s="87" t="str">
        <f t="shared" si="3"/>
        <v/>
      </c>
      <c r="P14" s="87" t="str">
        <f t="shared" si="4"/>
        <v/>
      </c>
      <c r="Q14" s="87" t="str">
        <f t="shared" si="5"/>
        <v/>
      </c>
    </row>
    <row r="15" spans="1:17" s="71" customFormat="1" ht="27" customHeight="1" x14ac:dyDescent="0.4">
      <c r="A15" s="77" t="str">
        <f t="shared" si="0"/>
        <v/>
      </c>
      <c r="B15" s="78"/>
      <c r="C15" s="78" t="str">
        <f>IF(B15="","",TEXT(Activity_EYLFOUTCOME[[#This Row],[DATE]],"DDDD"))</f>
        <v/>
      </c>
      <c r="D15" s="79"/>
      <c r="E15" s="80"/>
      <c r="F15" s="81"/>
      <c r="G15" s="75"/>
      <c r="H15" s="75"/>
      <c r="I15" s="75"/>
      <c r="J15" s="75"/>
      <c r="K15" s="76"/>
      <c r="M15" s="87" t="str">
        <f t="shared" si="1"/>
        <v/>
      </c>
      <c r="N15" s="87" t="str">
        <f t="shared" si="2"/>
        <v/>
      </c>
      <c r="O15" s="87" t="str">
        <f t="shared" si="3"/>
        <v/>
      </c>
      <c r="P15" s="87" t="str">
        <f t="shared" si="4"/>
        <v/>
      </c>
      <c r="Q15" s="87" t="str">
        <f t="shared" si="5"/>
        <v/>
      </c>
    </row>
    <row r="16" spans="1:17" s="71" customFormat="1" ht="27" customHeight="1" x14ac:dyDescent="0.4">
      <c r="A16" s="77" t="str">
        <f t="shared" si="0"/>
        <v/>
      </c>
      <c r="B16" s="78"/>
      <c r="C16" s="78" t="str">
        <f>IF(B16="","",TEXT(Activity_EYLFOUTCOME[[#This Row],[DATE]],"DDDD"))</f>
        <v/>
      </c>
      <c r="D16" s="79"/>
      <c r="E16" s="80"/>
      <c r="F16" s="81"/>
      <c r="G16" s="75"/>
      <c r="H16" s="75"/>
      <c r="I16" s="75"/>
      <c r="J16" s="75"/>
      <c r="K16" s="76"/>
      <c r="M16" s="87" t="str">
        <f t="shared" si="1"/>
        <v/>
      </c>
      <c r="N16" s="87" t="str">
        <f t="shared" si="2"/>
        <v/>
      </c>
      <c r="O16" s="87" t="str">
        <f t="shared" si="3"/>
        <v/>
      </c>
      <c r="P16" s="87" t="str">
        <f t="shared" si="4"/>
        <v/>
      </c>
      <c r="Q16" s="87" t="str">
        <f t="shared" si="5"/>
        <v/>
      </c>
    </row>
    <row r="17" spans="1:17" s="71" customFormat="1" ht="27" customHeight="1" x14ac:dyDescent="0.4">
      <c r="A17" s="77" t="str">
        <f t="shared" si="0"/>
        <v/>
      </c>
      <c r="B17" s="78"/>
      <c r="C17" s="78" t="str">
        <f>IF(B17="","",TEXT(Activity_EYLFOUTCOME[[#This Row],[DATE]],"DDDD"))</f>
        <v/>
      </c>
      <c r="D17" s="79"/>
      <c r="E17" s="80"/>
      <c r="F17" s="81"/>
      <c r="G17" s="75"/>
      <c r="H17" s="75"/>
      <c r="I17" s="75"/>
      <c r="J17" s="75"/>
      <c r="K17" s="76"/>
      <c r="M17" s="87" t="str">
        <f t="shared" si="1"/>
        <v/>
      </c>
      <c r="N17" s="87" t="str">
        <f t="shared" si="2"/>
        <v/>
      </c>
      <c r="O17" s="87" t="str">
        <f t="shared" si="3"/>
        <v/>
      </c>
      <c r="P17" s="87" t="str">
        <f t="shared" si="4"/>
        <v/>
      </c>
      <c r="Q17" s="87" t="str">
        <f t="shared" si="5"/>
        <v/>
      </c>
    </row>
    <row r="18" spans="1:17" s="71" customFormat="1" ht="27" customHeight="1" x14ac:dyDescent="0.4">
      <c r="A18" s="77" t="str">
        <f t="shared" si="0"/>
        <v/>
      </c>
      <c r="B18" s="78"/>
      <c r="C18" s="78" t="str">
        <f>IF(B18="","",TEXT(Activity_EYLFOUTCOME[[#This Row],[DATE]],"DDDD"))</f>
        <v/>
      </c>
      <c r="D18" s="79"/>
      <c r="E18" s="80"/>
      <c r="F18" s="81"/>
      <c r="G18" s="75"/>
      <c r="H18" s="75"/>
      <c r="I18" s="75"/>
      <c r="J18" s="75"/>
      <c r="K18" s="76"/>
      <c r="M18" s="87" t="str">
        <f t="shared" si="1"/>
        <v/>
      </c>
      <c r="N18" s="87" t="str">
        <f t="shared" si="2"/>
        <v/>
      </c>
      <c r="O18" s="87" t="str">
        <f t="shared" si="3"/>
        <v/>
      </c>
      <c r="P18" s="87" t="str">
        <f t="shared" si="4"/>
        <v/>
      </c>
      <c r="Q18" s="87" t="str">
        <f t="shared" si="5"/>
        <v/>
      </c>
    </row>
    <row r="19" spans="1:17" s="71" customFormat="1" ht="27" customHeight="1" x14ac:dyDescent="0.4">
      <c r="A19" s="77" t="str">
        <f t="shared" si="0"/>
        <v/>
      </c>
      <c r="B19" s="78"/>
      <c r="C19" s="78" t="str">
        <f>IF(B19="","",TEXT(Activity_EYLFOUTCOME[[#This Row],[DATE]],"DDDD"))</f>
        <v/>
      </c>
      <c r="D19" s="79"/>
      <c r="E19" s="80"/>
      <c r="F19" s="81"/>
      <c r="G19" s="75"/>
      <c r="H19" s="75"/>
      <c r="I19" s="75"/>
      <c r="J19" s="75"/>
      <c r="K19" s="76"/>
      <c r="M19" s="87" t="str">
        <f t="shared" si="1"/>
        <v/>
      </c>
      <c r="N19" s="87" t="str">
        <f t="shared" si="2"/>
        <v/>
      </c>
      <c r="O19" s="87" t="str">
        <f t="shared" si="3"/>
        <v/>
      </c>
      <c r="P19" s="87" t="str">
        <f t="shared" si="4"/>
        <v/>
      </c>
      <c r="Q19" s="87" t="str">
        <f t="shared" si="5"/>
        <v/>
      </c>
    </row>
    <row r="20" spans="1:17" s="71" customFormat="1" ht="27" customHeight="1" x14ac:dyDescent="0.4">
      <c r="A20" s="77" t="str">
        <f t="shared" si="0"/>
        <v/>
      </c>
      <c r="B20" s="78"/>
      <c r="C20" s="78" t="str">
        <f>IF(B20="","",TEXT(Activity_EYLFOUTCOME[[#This Row],[DATE]],"DDDD"))</f>
        <v/>
      </c>
      <c r="D20" s="79"/>
      <c r="E20" s="80"/>
      <c r="F20" s="81"/>
      <c r="G20" s="75"/>
      <c r="H20" s="75"/>
      <c r="I20" s="75"/>
      <c r="J20" s="75"/>
      <c r="K20" s="76"/>
      <c r="M20" s="87" t="str">
        <f t="shared" si="1"/>
        <v/>
      </c>
      <c r="N20" s="87" t="str">
        <f t="shared" si="2"/>
        <v/>
      </c>
      <c r="O20" s="87" t="str">
        <f t="shared" si="3"/>
        <v/>
      </c>
      <c r="P20" s="87" t="str">
        <f t="shared" si="4"/>
        <v/>
      </c>
      <c r="Q20" s="87" t="str">
        <f t="shared" si="5"/>
        <v/>
      </c>
    </row>
    <row r="21" spans="1:17" s="71" customFormat="1" ht="27" customHeight="1" x14ac:dyDescent="0.4">
      <c r="A21" s="77" t="str">
        <f t="shared" si="0"/>
        <v/>
      </c>
      <c r="B21" s="78"/>
      <c r="C21" s="78" t="str">
        <f>IF(B21="","",TEXT(Activity_EYLFOUTCOME[[#This Row],[DATE]],"DDDD"))</f>
        <v/>
      </c>
      <c r="D21" s="79"/>
      <c r="E21" s="80"/>
      <c r="F21" s="81"/>
      <c r="G21" s="75"/>
      <c r="H21" s="75"/>
      <c r="I21" s="75"/>
      <c r="J21" s="75"/>
      <c r="K21" s="76"/>
      <c r="M21" s="87" t="str">
        <f t="shared" si="1"/>
        <v/>
      </c>
      <c r="N21" s="87" t="str">
        <f t="shared" si="2"/>
        <v/>
      </c>
      <c r="O21" s="87" t="str">
        <f t="shared" si="3"/>
        <v/>
      </c>
      <c r="P21" s="87" t="str">
        <f t="shared" si="4"/>
        <v/>
      </c>
      <c r="Q21" s="87" t="str">
        <f t="shared" si="5"/>
        <v/>
      </c>
    </row>
    <row r="22" spans="1:17" s="71" customFormat="1" ht="27" customHeight="1" x14ac:dyDescent="0.4">
      <c r="A22" s="77" t="str">
        <f t="shared" si="0"/>
        <v/>
      </c>
      <c r="B22" s="78"/>
      <c r="C22" s="78" t="str">
        <f>IF(B22="","",TEXT(Activity_EYLFOUTCOME[[#This Row],[DATE]],"DDDD"))</f>
        <v/>
      </c>
      <c r="D22" s="79"/>
      <c r="E22" s="80"/>
      <c r="F22" s="81"/>
      <c r="G22" s="75"/>
      <c r="H22" s="75"/>
      <c r="I22" s="75"/>
      <c r="J22" s="75"/>
      <c r="K22" s="76"/>
      <c r="M22" s="87" t="str">
        <f t="shared" si="1"/>
        <v/>
      </c>
      <c r="N22" s="87" t="str">
        <f t="shared" si="2"/>
        <v/>
      </c>
      <c r="O22" s="87" t="str">
        <f t="shared" si="3"/>
        <v/>
      </c>
      <c r="P22" s="87" t="str">
        <f t="shared" si="4"/>
        <v/>
      </c>
      <c r="Q22" s="87" t="str">
        <f t="shared" si="5"/>
        <v/>
      </c>
    </row>
    <row r="23" spans="1:17" s="71" customFormat="1" ht="27" customHeight="1" x14ac:dyDescent="0.4">
      <c r="A23" s="77" t="str">
        <f t="shared" si="0"/>
        <v/>
      </c>
      <c r="B23" s="78"/>
      <c r="C23" s="78" t="str">
        <f>IF(B23="","",TEXT(Activity_EYLFOUTCOME[[#This Row],[DATE]],"DDDD"))</f>
        <v/>
      </c>
      <c r="D23" s="79"/>
      <c r="E23" s="80"/>
      <c r="F23" s="81"/>
      <c r="G23" s="75"/>
      <c r="H23" s="75"/>
      <c r="I23" s="75"/>
      <c r="J23" s="75"/>
      <c r="K23" s="76"/>
      <c r="M23" s="87" t="str">
        <f t="shared" si="1"/>
        <v/>
      </c>
      <c r="N23" s="87" t="str">
        <f t="shared" si="2"/>
        <v/>
      </c>
      <c r="O23" s="87" t="str">
        <f t="shared" si="3"/>
        <v/>
      </c>
      <c r="P23" s="87" t="str">
        <f t="shared" si="4"/>
        <v/>
      </c>
      <c r="Q23" s="87" t="str">
        <f t="shared" si="5"/>
        <v/>
      </c>
    </row>
    <row r="24" spans="1:17" s="71" customFormat="1" ht="27" customHeight="1" x14ac:dyDescent="0.4">
      <c r="A24" s="77" t="str">
        <f t="shared" si="0"/>
        <v/>
      </c>
      <c r="B24" s="78"/>
      <c r="C24" s="78" t="str">
        <f>IF(B24="","",TEXT(Activity_EYLFOUTCOME[[#This Row],[DATE]],"DDDD"))</f>
        <v/>
      </c>
      <c r="D24" s="79"/>
      <c r="E24" s="80"/>
      <c r="F24" s="81"/>
      <c r="G24" s="75"/>
      <c r="H24" s="75"/>
      <c r="I24" s="75"/>
      <c r="J24" s="75"/>
      <c r="K24" s="76"/>
      <c r="M24" s="87" t="str">
        <f t="shared" si="1"/>
        <v/>
      </c>
      <c r="N24" s="87" t="str">
        <f t="shared" si="2"/>
        <v/>
      </c>
      <c r="O24" s="87" t="str">
        <f t="shared" si="3"/>
        <v/>
      </c>
      <c r="P24" s="87" t="str">
        <f t="shared" si="4"/>
        <v/>
      </c>
      <c r="Q24" s="87" t="str">
        <f t="shared" si="5"/>
        <v/>
      </c>
    </row>
    <row r="25" spans="1:17" s="71" customFormat="1" ht="27" customHeight="1" x14ac:dyDescent="0.4">
      <c r="A25" s="77" t="str">
        <f t="shared" si="0"/>
        <v/>
      </c>
      <c r="B25" s="78"/>
      <c r="C25" s="78" t="str">
        <f>IF(B25="","",TEXT(Activity_EYLFOUTCOME[[#This Row],[DATE]],"DDDD"))</f>
        <v/>
      </c>
      <c r="D25" s="79"/>
      <c r="E25" s="80"/>
      <c r="F25" s="81"/>
      <c r="G25" s="75"/>
      <c r="H25" s="75"/>
      <c r="I25" s="75"/>
      <c r="J25" s="75"/>
      <c r="K25" s="76"/>
      <c r="M25" s="87" t="str">
        <f t="shared" si="1"/>
        <v/>
      </c>
      <c r="N25" s="87" t="str">
        <f t="shared" si="2"/>
        <v/>
      </c>
      <c r="O25" s="87" t="str">
        <f t="shared" si="3"/>
        <v/>
      </c>
      <c r="P25" s="87" t="str">
        <f t="shared" si="4"/>
        <v/>
      </c>
      <c r="Q25" s="87" t="str">
        <f t="shared" si="5"/>
        <v/>
      </c>
    </row>
    <row r="26" spans="1:17" s="71" customFormat="1" ht="27" customHeight="1" x14ac:dyDescent="0.4">
      <c r="A26" s="77" t="str">
        <f t="shared" si="0"/>
        <v/>
      </c>
      <c r="B26" s="78"/>
      <c r="C26" s="78" t="str">
        <f>IF(B26="","",TEXT(Activity_EYLFOUTCOME[[#This Row],[DATE]],"DDDD"))</f>
        <v/>
      </c>
      <c r="D26" s="79"/>
      <c r="E26" s="80"/>
      <c r="F26" s="81"/>
      <c r="G26" s="75"/>
      <c r="H26" s="75"/>
      <c r="I26" s="75"/>
      <c r="J26" s="75"/>
      <c r="K26" s="76"/>
      <c r="M26" s="87" t="str">
        <f t="shared" si="1"/>
        <v/>
      </c>
      <c r="N26" s="87" t="str">
        <f t="shared" si="2"/>
        <v/>
      </c>
      <c r="O26" s="87" t="str">
        <f t="shared" si="3"/>
        <v/>
      </c>
      <c r="P26" s="87" t="str">
        <f t="shared" si="4"/>
        <v/>
      </c>
      <c r="Q26" s="87" t="str">
        <f t="shared" si="5"/>
        <v/>
      </c>
    </row>
    <row r="27" spans="1:17" s="71" customFormat="1" ht="27" customHeight="1" x14ac:dyDescent="0.4">
      <c r="A27" s="77" t="str">
        <f t="shared" si="0"/>
        <v/>
      </c>
      <c r="B27" s="78"/>
      <c r="C27" s="78" t="str">
        <f>IF(B27="","",TEXT(Activity_EYLFOUTCOME[[#This Row],[DATE]],"DDDD"))</f>
        <v/>
      </c>
      <c r="D27" s="79"/>
      <c r="E27" s="80"/>
      <c r="F27" s="81"/>
      <c r="G27" s="75"/>
      <c r="H27" s="75"/>
      <c r="I27" s="75"/>
      <c r="J27" s="75"/>
      <c r="K27" s="76"/>
      <c r="M27" s="87" t="str">
        <f t="shared" si="1"/>
        <v/>
      </c>
      <c r="N27" s="87" t="str">
        <f t="shared" si="2"/>
        <v/>
      </c>
      <c r="O27" s="87" t="str">
        <f t="shared" si="3"/>
        <v/>
      </c>
      <c r="P27" s="87" t="str">
        <f t="shared" si="4"/>
        <v/>
      </c>
      <c r="Q27" s="87" t="str">
        <f t="shared" si="5"/>
        <v/>
      </c>
    </row>
    <row r="28" spans="1:17" s="71" customFormat="1" ht="27" customHeight="1" x14ac:dyDescent="0.4">
      <c r="A28" s="77" t="str">
        <f t="shared" si="0"/>
        <v/>
      </c>
      <c r="B28" s="78"/>
      <c r="C28" s="78" t="str">
        <f>IF(B28="","",TEXT(Activity_EYLFOUTCOME[[#This Row],[DATE]],"DDDD"))</f>
        <v/>
      </c>
      <c r="D28" s="79"/>
      <c r="E28" s="80"/>
      <c r="F28" s="81"/>
      <c r="G28" s="75"/>
      <c r="H28" s="75"/>
      <c r="I28" s="75"/>
      <c r="J28" s="75"/>
      <c r="K28" s="76"/>
      <c r="M28" s="87" t="str">
        <f t="shared" si="1"/>
        <v/>
      </c>
      <c r="N28" s="87" t="str">
        <f t="shared" si="2"/>
        <v/>
      </c>
      <c r="O28" s="87" t="str">
        <f t="shared" si="3"/>
        <v/>
      </c>
      <c r="P28" s="87" t="str">
        <f t="shared" si="4"/>
        <v/>
      </c>
      <c r="Q28" s="87" t="str">
        <f t="shared" si="5"/>
        <v/>
      </c>
    </row>
    <row r="29" spans="1:17" s="71" customFormat="1" ht="27" customHeight="1" x14ac:dyDescent="0.4">
      <c r="A29" s="77" t="str">
        <f t="shared" si="0"/>
        <v/>
      </c>
      <c r="B29" s="78"/>
      <c r="C29" s="78" t="str">
        <f>IF(B29="","",TEXT(Activity_EYLFOUTCOME[[#This Row],[DATE]],"DDDD"))</f>
        <v/>
      </c>
      <c r="D29" s="79"/>
      <c r="E29" s="80"/>
      <c r="F29" s="81"/>
      <c r="G29" s="75"/>
      <c r="H29" s="75"/>
      <c r="I29" s="75"/>
      <c r="J29" s="75"/>
      <c r="K29" s="76"/>
      <c r="M29" s="87" t="str">
        <f t="shared" si="1"/>
        <v/>
      </c>
      <c r="N29" s="87" t="str">
        <f t="shared" si="2"/>
        <v/>
      </c>
      <c r="O29" s="87" t="str">
        <f t="shared" si="3"/>
        <v/>
      </c>
      <c r="P29" s="87" t="str">
        <f t="shared" si="4"/>
        <v/>
      </c>
      <c r="Q29" s="87" t="str">
        <f t="shared" si="5"/>
        <v/>
      </c>
    </row>
    <row r="30" spans="1:17" s="71" customFormat="1" ht="27" customHeight="1" x14ac:dyDescent="0.4">
      <c r="A30" s="77" t="str">
        <f t="shared" si="0"/>
        <v/>
      </c>
      <c r="B30" s="78"/>
      <c r="C30" s="78" t="str">
        <f>IF(B30="","",TEXT(Activity_EYLFOUTCOME[[#This Row],[DATE]],"DDDD"))</f>
        <v/>
      </c>
      <c r="D30" s="79"/>
      <c r="E30" s="80"/>
      <c r="F30" s="81"/>
      <c r="G30" s="75"/>
      <c r="H30" s="75"/>
      <c r="I30" s="75"/>
      <c r="J30" s="75"/>
      <c r="K30" s="76"/>
      <c r="M30" s="87" t="str">
        <f t="shared" si="1"/>
        <v/>
      </c>
      <c r="N30" s="87" t="str">
        <f t="shared" si="2"/>
        <v/>
      </c>
      <c r="O30" s="87" t="str">
        <f t="shared" si="3"/>
        <v/>
      </c>
      <c r="P30" s="87" t="str">
        <f t="shared" si="4"/>
        <v/>
      </c>
      <c r="Q30" s="87" t="str">
        <f t="shared" si="5"/>
        <v/>
      </c>
    </row>
    <row r="31" spans="1:17" s="71" customFormat="1" ht="27" customHeight="1" x14ac:dyDescent="0.4">
      <c r="A31" s="77" t="str">
        <f t="shared" si="0"/>
        <v/>
      </c>
      <c r="B31" s="78"/>
      <c r="C31" s="78" t="str">
        <f>IF(B31="","",TEXT(Activity_EYLFOUTCOME[[#This Row],[DATE]],"DDDD"))</f>
        <v/>
      </c>
      <c r="D31" s="79"/>
      <c r="E31" s="80"/>
      <c r="F31" s="81"/>
      <c r="G31" s="75"/>
      <c r="H31" s="75"/>
      <c r="I31" s="75"/>
      <c r="J31" s="75"/>
      <c r="K31" s="76"/>
      <c r="M31" s="87" t="str">
        <f t="shared" si="1"/>
        <v/>
      </c>
      <c r="N31" s="87" t="str">
        <f t="shared" si="2"/>
        <v/>
      </c>
      <c r="O31" s="87" t="str">
        <f t="shared" si="3"/>
        <v/>
      </c>
      <c r="P31" s="87" t="str">
        <f t="shared" si="4"/>
        <v/>
      </c>
      <c r="Q31" s="87" t="str">
        <f t="shared" si="5"/>
        <v/>
      </c>
    </row>
    <row r="32" spans="1:17" s="71" customFormat="1" ht="27" customHeight="1" x14ac:dyDescent="0.4">
      <c r="A32" s="77" t="str">
        <f t="shared" si="0"/>
        <v/>
      </c>
      <c r="B32" s="78"/>
      <c r="C32" s="78" t="str">
        <f>IF(B32="","",TEXT(Activity_EYLFOUTCOME[[#This Row],[DATE]],"DDDD"))</f>
        <v/>
      </c>
      <c r="D32" s="79"/>
      <c r="E32" s="80"/>
      <c r="F32" s="81"/>
      <c r="G32" s="75"/>
      <c r="H32" s="75"/>
      <c r="I32" s="75"/>
      <c r="J32" s="75"/>
      <c r="K32" s="76"/>
      <c r="M32" s="87" t="str">
        <f t="shared" si="1"/>
        <v/>
      </c>
      <c r="N32" s="87" t="str">
        <f t="shared" si="2"/>
        <v/>
      </c>
      <c r="O32" s="87" t="str">
        <f t="shared" si="3"/>
        <v/>
      </c>
      <c r="P32" s="87" t="str">
        <f t="shared" si="4"/>
        <v/>
      </c>
      <c r="Q32" s="87" t="str">
        <f t="shared" si="5"/>
        <v/>
      </c>
    </row>
    <row r="33" spans="1:17" s="71" customFormat="1" ht="27" customHeight="1" x14ac:dyDescent="0.4">
      <c r="A33" s="77" t="str">
        <f t="shared" si="0"/>
        <v/>
      </c>
      <c r="B33" s="78"/>
      <c r="C33" s="78" t="str">
        <f>IF(B33="","",TEXT(Activity_EYLFOUTCOME[[#This Row],[DATE]],"DDDD"))</f>
        <v/>
      </c>
      <c r="D33" s="79"/>
      <c r="E33" s="80"/>
      <c r="F33" s="81"/>
      <c r="G33" s="75"/>
      <c r="H33" s="75"/>
      <c r="I33" s="75"/>
      <c r="J33" s="75"/>
      <c r="K33" s="76"/>
      <c r="M33" s="87" t="str">
        <f t="shared" si="1"/>
        <v/>
      </c>
      <c r="N33" s="87" t="str">
        <f t="shared" si="2"/>
        <v/>
      </c>
      <c r="O33" s="87" t="str">
        <f t="shared" si="3"/>
        <v/>
      </c>
      <c r="P33" s="87" t="str">
        <f t="shared" si="4"/>
        <v/>
      </c>
      <c r="Q33" s="87" t="str">
        <f t="shared" si="5"/>
        <v/>
      </c>
    </row>
    <row r="34" spans="1:17" s="71" customFormat="1" ht="27" customHeight="1" x14ac:dyDescent="0.4">
      <c r="A34" s="77" t="str">
        <f t="shared" si="0"/>
        <v/>
      </c>
      <c r="B34" s="78"/>
      <c r="C34" s="78" t="str">
        <f>IF(B34="","",TEXT(Activity_EYLFOUTCOME[[#This Row],[DATE]],"DDDD"))</f>
        <v/>
      </c>
      <c r="D34" s="79"/>
      <c r="E34" s="80"/>
      <c r="F34" s="81"/>
      <c r="G34" s="75"/>
      <c r="H34" s="75"/>
      <c r="I34" s="75"/>
      <c r="J34" s="75"/>
      <c r="K34" s="76"/>
      <c r="M34" s="87" t="str">
        <f t="shared" si="1"/>
        <v/>
      </c>
      <c r="N34" s="87" t="str">
        <f t="shared" si="2"/>
        <v/>
      </c>
      <c r="O34" s="87" t="str">
        <f t="shared" si="3"/>
        <v/>
      </c>
      <c r="P34" s="87" t="str">
        <f t="shared" si="4"/>
        <v/>
      </c>
      <c r="Q34" s="87" t="str">
        <f t="shared" si="5"/>
        <v/>
      </c>
    </row>
    <row r="35" spans="1:17" s="71" customFormat="1" ht="27" customHeight="1" x14ac:dyDescent="0.4">
      <c r="A35" s="77" t="str">
        <f t="shared" si="0"/>
        <v/>
      </c>
      <c r="B35" s="78"/>
      <c r="C35" s="78" t="str">
        <f>IF(B35="","",TEXT(Activity_EYLFOUTCOME[[#This Row],[DATE]],"DDDD"))</f>
        <v/>
      </c>
      <c r="D35" s="79"/>
      <c r="E35" s="80"/>
      <c r="F35" s="81"/>
      <c r="G35" s="75"/>
      <c r="H35" s="75"/>
      <c r="I35" s="75"/>
      <c r="J35" s="75"/>
      <c r="K35" s="76"/>
      <c r="M35" s="87" t="str">
        <f t="shared" si="1"/>
        <v/>
      </c>
      <c r="N35" s="87" t="str">
        <f t="shared" si="2"/>
        <v/>
      </c>
      <c r="O35" s="87" t="str">
        <f t="shared" si="3"/>
        <v/>
      </c>
      <c r="P35" s="87" t="str">
        <f t="shared" si="4"/>
        <v/>
      </c>
      <c r="Q35" s="87" t="str">
        <f t="shared" si="5"/>
        <v/>
      </c>
    </row>
    <row r="36" spans="1:17" s="71" customFormat="1" ht="27" customHeight="1" x14ac:dyDescent="0.4">
      <c r="A36" s="77" t="str">
        <f t="shared" si="0"/>
        <v/>
      </c>
      <c r="B36" s="78"/>
      <c r="C36" s="78" t="str">
        <f>IF(B36="","",TEXT(Activity_EYLFOUTCOME[[#This Row],[DATE]],"DDDD"))</f>
        <v/>
      </c>
      <c r="D36" s="79"/>
      <c r="E36" s="80"/>
      <c r="F36" s="81"/>
      <c r="G36" s="75"/>
      <c r="H36" s="75"/>
      <c r="I36" s="75"/>
      <c r="J36" s="75"/>
      <c r="K36" s="76"/>
      <c r="M36" s="87" t="str">
        <f t="shared" si="1"/>
        <v/>
      </c>
      <c r="N36" s="87" t="str">
        <f t="shared" si="2"/>
        <v/>
      </c>
      <c r="O36" s="87" t="str">
        <f t="shared" si="3"/>
        <v/>
      </c>
      <c r="P36" s="87" t="str">
        <f t="shared" si="4"/>
        <v/>
      </c>
      <c r="Q36" s="87" t="str">
        <f t="shared" si="5"/>
        <v/>
      </c>
    </row>
    <row r="37" spans="1:17" s="71" customFormat="1" ht="27" customHeight="1" x14ac:dyDescent="0.4">
      <c r="A37" s="77" t="str">
        <f t="shared" si="0"/>
        <v/>
      </c>
      <c r="B37" s="78"/>
      <c r="C37" s="78" t="str">
        <f>IF(B37="","",TEXT(Activity_EYLFOUTCOME[[#This Row],[DATE]],"DDDD"))</f>
        <v/>
      </c>
      <c r="D37" s="79"/>
      <c r="E37" s="80"/>
      <c r="F37" s="81"/>
      <c r="G37" s="75"/>
      <c r="H37" s="75"/>
      <c r="I37" s="75"/>
      <c r="J37" s="75"/>
      <c r="K37" s="76"/>
      <c r="M37" s="87" t="str">
        <f t="shared" si="1"/>
        <v/>
      </c>
      <c r="N37" s="87" t="str">
        <f t="shared" si="2"/>
        <v/>
      </c>
      <c r="O37" s="87" t="str">
        <f t="shared" si="3"/>
        <v/>
      </c>
      <c r="P37" s="87" t="str">
        <f t="shared" si="4"/>
        <v/>
      </c>
      <c r="Q37" s="87" t="str">
        <f t="shared" si="5"/>
        <v/>
      </c>
    </row>
    <row r="38" spans="1:17" s="71" customFormat="1" ht="27" customHeight="1" x14ac:dyDescent="0.4">
      <c r="A38" s="77" t="str">
        <f t="shared" si="0"/>
        <v/>
      </c>
      <c r="B38" s="78"/>
      <c r="C38" s="78" t="str">
        <f>IF(B38="","",TEXT(Activity_EYLFOUTCOME[[#This Row],[DATE]],"DDDD"))</f>
        <v/>
      </c>
      <c r="D38" s="79"/>
      <c r="E38" s="80"/>
      <c r="F38" s="81"/>
      <c r="G38" s="75"/>
      <c r="H38" s="75"/>
      <c r="I38" s="75"/>
      <c r="J38" s="75"/>
      <c r="K38" s="76"/>
      <c r="M38" s="87" t="str">
        <f t="shared" si="1"/>
        <v/>
      </c>
      <c r="N38" s="87" t="str">
        <f t="shared" si="2"/>
        <v/>
      </c>
      <c r="O38" s="87" t="str">
        <f t="shared" si="3"/>
        <v/>
      </c>
      <c r="P38" s="87" t="str">
        <f t="shared" si="4"/>
        <v/>
      </c>
      <c r="Q38" s="87" t="str">
        <f t="shared" si="5"/>
        <v/>
      </c>
    </row>
    <row r="39" spans="1:17" s="71" customFormat="1" ht="27" customHeight="1" x14ac:dyDescent="0.4">
      <c r="A39" s="77" t="str">
        <f t="shared" si="0"/>
        <v/>
      </c>
      <c r="B39" s="78"/>
      <c r="C39" s="78" t="str">
        <f>IF(B39="","",TEXT(Activity_EYLFOUTCOME[[#This Row],[DATE]],"DDDD"))</f>
        <v/>
      </c>
      <c r="D39" s="79"/>
      <c r="E39" s="80"/>
      <c r="F39" s="81"/>
      <c r="G39" s="75"/>
      <c r="H39" s="75"/>
      <c r="I39" s="75"/>
      <c r="J39" s="75"/>
      <c r="K39" s="76"/>
      <c r="M39" s="87" t="str">
        <f t="shared" si="1"/>
        <v/>
      </c>
      <c r="N39" s="87" t="str">
        <f t="shared" si="2"/>
        <v/>
      </c>
      <c r="O39" s="87" t="str">
        <f t="shared" si="3"/>
        <v/>
      </c>
      <c r="P39" s="87" t="str">
        <f t="shared" si="4"/>
        <v/>
      </c>
      <c r="Q39" s="87" t="str">
        <f t="shared" si="5"/>
        <v/>
      </c>
    </row>
    <row r="40" spans="1:17" s="71" customFormat="1" ht="27" customHeight="1" x14ac:dyDescent="0.4">
      <c r="A40" s="77" t="str">
        <f t="shared" si="0"/>
        <v/>
      </c>
      <c r="B40" s="78"/>
      <c r="C40" s="78" t="str">
        <f>IF(B40="","",TEXT(Activity_EYLFOUTCOME[[#This Row],[DATE]],"DDDD"))</f>
        <v/>
      </c>
      <c r="D40" s="79"/>
      <c r="E40" s="80"/>
      <c r="F40" s="81"/>
      <c r="G40" s="75"/>
      <c r="H40" s="75"/>
      <c r="I40" s="75"/>
      <c r="J40" s="75"/>
      <c r="K40" s="76"/>
      <c r="M40" s="87" t="str">
        <f t="shared" si="1"/>
        <v/>
      </c>
      <c r="N40" s="87" t="str">
        <f t="shared" si="2"/>
        <v/>
      </c>
      <c r="O40" s="87" t="str">
        <f t="shared" si="3"/>
        <v/>
      </c>
      <c r="P40" s="87" t="str">
        <f t="shared" si="4"/>
        <v/>
      </c>
      <c r="Q40" s="87" t="str">
        <f t="shared" si="5"/>
        <v/>
      </c>
    </row>
    <row r="41" spans="1:17" s="71" customFormat="1" ht="27" customHeight="1" x14ac:dyDescent="0.4">
      <c r="A41" s="77" t="str">
        <f t="shared" si="0"/>
        <v/>
      </c>
      <c r="B41" s="78"/>
      <c r="C41" s="78" t="str">
        <f>IF(B41="","",TEXT(Activity_EYLFOUTCOME[[#This Row],[DATE]],"DDDD"))</f>
        <v/>
      </c>
      <c r="D41" s="79"/>
      <c r="E41" s="80"/>
      <c r="F41" s="81"/>
      <c r="G41" s="75"/>
      <c r="H41" s="75"/>
      <c r="I41" s="75"/>
      <c r="J41" s="75"/>
      <c r="K41" s="76"/>
      <c r="M41" s="87" t="str">
        <f t="shared" si="1"/>
        <v/>
      </c>
      <c r="N41" s="87" t="str">
        <f t="shared" si="2"/>
        <v/>
      </c>
      <c r="O41" s="87" t="str">
        <f t="shared" si="3"/>
        <v/>
      </c>
      <c r="P41" s="87" t="str">
        <f t="shared" si="4"/>
        <v/>
      </c>
      <c r="Q41" s="87" t="str">
        <f t="shared" si="5"/>
        <v/>
      </c>
    </row>
    <row r="42" spans="1:17" s="71" customFormat="1" ht="27" customHeight="1" x14ac:dyDescent="0.4">
      <c r="A42" s="77" t="str">
        <f t="shared" si="0"/>
        <v/>
      </c>
      <c r="B42" s="78"/>
      <c r="C42" s="78" t="str">
        <f>IF(B42="","",TEXT(Activity_EYLFOUTCOME[[#This Row],[DATE]],"DDDD"))</f>
        <v/>
      </c>
      <c r="D42" s="79"/>
      <c r="E42" s="80"/>
      <c r="F42" s="81"/>
      <c r="G42" s="75"/>
      <c r="H42" s="75"/>
      <c r="I42" s="73"/>
      <c r="J42" s="75"/>
      <c r="K42" s="76"/>
      <c r="M42" s="87" t="str">
        <f t="shared" si="1"/>
        <v/>
      </c>
      <c r="N42" s="87" t="str">
        <f t="shared" si="2"/>
        <v/>
      </c>
      <c r="O42" s="87" t="str">
        <f t="shared" si="3"/>
        <v/>
      </c>
      <c r="P42" s="87" t="str">
        <f t="shared" si="4"/>
        <v/>
      </c>
      <c r="Q42" s="87" t="str">
        <f t="shared" si="5"/>
        <v/>
      </c>
    </row>
    <row r="43" spans="1:17" s="71" customFormat="1" ht="27" customHeight="1" x14ac:dyDescent="0.4">
      <c r="A43" s="77" t="str">
        <f t="shared" si="0"/>
        <v/>
      </c>
      <c r="B43" s="78"/>
      <c r="C43" s="78" t="str">
        <f>IF(B43="","",TEXT(Activity_EYLFOUTCOME[[#This Row],[DATE]],"DDDD"))</f>
        <v/>
      </c>
      <c r="D43" s="79"/>
      <c r="E43" s="80"/>
      <c r="F43" s="81"/>
      <c r="G43" s="75"/>
      <c r="H43" s="75"/>
      <c r="I43" s="75"/>
      <c r="J43" s="75"/>
      <c r="K43" s="76"/>
      <c r="M43" s="87" t="str">
        <f t="shared" si="1"/>
        <v/>
      </c>
      <c r="N43" s="87" t="str">
        <f t="shared" si="2"/>
        <v/>
      </c>
      <c r="O43" s="87" t="str">
        <f t="shared" si="3"/>
        <v/>
      </c>
      <c r="P43" s="87" t="str">
        <f t="shared" si="4"/>
        <v/>
      </c>
      <c r="Q43" s="87" t="str">
        <f t="shared" si="5"/>
        <v/>
      </c>
    </row>
    <row r="44" spans="1:17" s="71" customFormat="1" ht="27" customHeight="1" x14ac:dyDescent="0.4">
      <c r="A44" s="77" t="str">
        <f t="shared" si="0"/>
        <v/>
      </c>
      <c r="B44" s="78"/>
      <c r="C44" s="78" t="str">
        <f>IF(B44="","",TEXT(Activity_EYLFOUTCOME[[#This Row],[DATE]],"DDDD"))</f>
        <v/>
      </c>
      <c r="D44" s="79"/>
      <c r="E44" s="80"/>
      <c r="F44" s="81"/>
      <c r="G44" s="75"/>
      <c r="H44" s="75"/>
      <c r="I44" s="75"/>
      <c r="J44" s="75"/>
      <c r="K44" s="76"/>
      <c r="M44" s="87" t="str">
        <f t="shared" si="1"/>
        <v/>
      </c>
      <c r="N44" s="87" t="str">
        <f t="shared" si="2"/>
        <v/>
      </c>
      <c r="O44" s="87" t="str">
        <f t="shared" si="3"/>
        <v/>
      </c>
      <c r="P44" s="87" t="str">
        <f t="shared" si="4"/>
        <v/>
      </c>
      <c r="Q44" s="87" t="str">
        <f t="shared" si="5"/>
        <v/>
      </c>
    </row>
    <row r="45" spans="1:17" s="71" customFormat="1" ht="27" customHeight="1" x14ac:dyDescent="0.4">
      <c r="A45" s="77" t="str">
        <f t="shared" si="0"/>
        <v/>
      </c>
      <c r="B45" s="78"/>
      <c r="C45" s="78" t="str">
        <f>IF(B45="","",TEXT(Activity_EYLFOUTCOME[[#This Row],[DATE]],"DDDD"))</f>
        <v/>
      </c>
      <c r="D45" s="79"/>
      <c r="E45" s="80"/>
      <c r="F45" s="81"/>
      <c r="G45" s="75"/>
      <c r="H45" s="75"/>
      <c r="I45" s="75"/>
      <c r="J45" s="75"/>
      <c r="K45" s="76"/>
      <c r="M45" s="87" t="str">
        <f t="shared" si="1"/>
        <v/>
      </c>
      <c r="N45" s="87" t="str">
        <f t="shared" si="2"/>
        <v/>
      </c>
      <c r="O45" s="87" t="str">
        <f t="shared" si="3"/>
        <v/>
      </c>
      <c r="P45" s="87" t="str">
        <f t="shared" si="4"/>
        <v/>
      </c>
      <c r="Q45" s="87" t="str">
        <f t="shared" si="5"/>
        <v/>
      </c>
    </row>
    <row r="46" spans="1:17" s="71" customFormat="1" ht="27" customHeight="1" x14ac:dyDescent="0.4">
      <c r="A46" s="77" t="str">
        <f t="shared" si="0"/>
        <v/>
      </c>
      <c r="B46" s="78"/>
      <c r="C46" s="78" t="str">
        <f>IF(B46="","",TEXT(Activity_EYLFOUTCOME[[#This Row],[DATE]],"DDDD"))</f>
        <v/>
      </c>
      <c r="D46" s="79"/>
      <c r="E46" s="80"/>
      <c r="F46" s="81"/>
      <c r="G46" s="75"/>
      <c r="H46" s="75"/>
      <c r="I46" s="73"/>
      <c r="J46" s="75"/>
      <c r="K46" s="76"/>
      <c r="M46" s="87" t="str">
        <f t="shared" si="1"/>
        <v/>
      </c>
      <c r="N46" s="87" t="str">
        <f t="shared" si="2"/>
        <v/>
      </c>
      <c r="O46" s="87" t="str">
        <f t="shared" si="3"/>
        <v/>
      </c>
      <c r="P46" s="87" t="str">
        <f t="shared" si="4"/>
        <v/>
      </c>
      <c r="Q46" s="87" t="str">
        <f t="shared" si="5"/>
        <v/>
      </c>
    </row>
    <row r="47" spans="1:17" s="71" customFormat="1" ht="27" customHeight="1" x14ac:dyDescent="0.4">
      <c r="A47" s="77" t="str">
        <f t="shared" si="0"/>
        <v/>
      </c>
      <c r="B47" s="78"/>
      <c r="C47" s="78" t="str">
        <f>IF(B47="","",TEXT(Activity_EYLFOUTCOME[[#This Row],[DATE]],"DDDD"))</f>
        <v/>
      </c>
      <c r="D47" s="79"/>
      <c r="E47" s="80"/>
      <c r="F47" s="81"/>
      <c r="G47" s="75"/>
      <c r="H47" s="75"/>
      <c r="I47" s="75"/>
      <c r="J47" s="75"/>
      <c r="K47" s="76"/>
      <c r="M47" s="87" t="str">
        <f t="shared" si="1"/>
        <v/>
      </c>
      <c r="N47" s="87" t="str">
        <f t="shared" si="2"/>
        <v/>
      </c>
      <c r="O47" s="87" t="str">
        <f t="shared" si="3"/>
        <v/>
      </c>
      <c r="P47" s="87" t="str">
        <f t="shared" si="4"/>
        <v/>
      </c>
      <c r="Q47" s="87" t="str">
        <f t="shared" si="5"/>
        <v/>
      </c>
    </row>
    <row r="48" spans="1:17" s="71" customFormat="1" ht="27" customHeight="1" x14ac:dyDescent="0.4">
      <c r="A48" s="77" t="str">
        <f t="shared" si="0"/>
        <v/>
      </c>
      <c r="B48" s="78"/>
      <c r="C48" s="78" t="str">
        <f>IF(B48="","",TEXT(Activity_EYLFOUTCOME[[#This Row],[DATE]],"DDDD"))</f>
        <v/>
      </c>
      <c r="D48" s="79"/>
      <c r="E48" s="80"/>
      <c r="F48" s="81"/>
      <c r="G48" s="75"/>
      <c r="H48" s="75"/>
      <c r="I48" s="75"/>
      <c r="J48" s="75"/>
      <c r="K48" s="74"/>
      <c r="M48" s="87" t="str">
        <f t="shared" si="1"/>
        <v/>
      </c>
      <c r="N48" s="87" t="str">
        <f t="shared" si="2"/>
        <v/>
      </c>
      <c r="O48" s="87" t="str">
        <f t="shared" si="3"/>
        <v/>
      </c>
      <c r="P48" s="87" t="str">
        <f t="shared" si="4"/>
        <v/>
      </c>
      <c r="Q48" s="87" t="str">
        <f t="shared" si="5"/>
        <v/>
      </c>
    </row>
    <row r="49" spans="1:17" s="71" customFormat="1" ht="27" customHeight="1" x14ac:dyDescent="0.4">
      <c r="A49" s="77" t="str">
        <f t="shared" si="0"/>
        <v/>
      </c>
      <c r="B49" s="78"/>
      <c r="C49" s="78" t="str">
        <f>IF(B49="","",TEXT(Activity_EYLFOUTCOME[[#This Row],[DATE]],"DDDD"))</f>
        <v/>
      </c>
      <c r="D49" s="79"/>
      <c r="E49" s="80"/>
      <c r="F49" s="81"/>
      <c r="G49" s="73"/>
      <c r="H49" s="75"/>
      <c r="I49" s="75"/>
      <c r="J49" s="75"/>
      <c r="K49" s="74"/>
      <c r="M49" s="87" t="str">
        <f t="shared" si="1"/>
        <v/>
      </c>
      <c r="N49" s="87" t="str">
        <f t="shared" si="2"/>
        <v/>
      </c>
      <c r="O49" s="87" t="str">
        <f t="shared" si="3"/>
        <v/>
      </c>
      <c r="P49" s="87" t="str">
        <f t="shared" si="4"/>
        <v/>
      </c>
      <c r="Q49" s="87" t="str">
        <f t="shared" si="5"/>
        <v/>
      </c>
    </row>
    <row r="50" spans="1:17" s="71" customFormat="1" ht="27" customHeight="1" x14ac:dyDescent="0.4">
      <c r="A50" s="77" t="str">
        <f t="shared" si="0"/>
        <v/>
      </c>
      <c r="B50" s="78"/>
      <c r="C50" s="78" t="str">
        <f>IF(B50="","",TEXT(Activity_EYLFOUTCOME[[#This Row],[DATE]],"DDDD"))</f>
        <v/>
      </c>
      <c r="D50" s="79"/>
      <c r="E50" s="80"/>
      <c r="F50" s="81"/>
      <c r="G50" s="75"/>
      <c r="H50" s="75"/>
      <c r="I50" s="75"/>
      <c r="J50" s="75"/>
      <c r="K50" s="74"/>
      <c r="M50" s="87" t="str">
        <f t="shared" si="1"/>
        <v/>
      </c>
      <c r="N50" s="87" t="str">
        <f t="shared" si="2"/>
        <v/>
      </c>
      <c r="O50" s="87" t="str">
        <f t="shared" si="3"/>
        <v/>
      </c>
      <c r="P50" s="87" t="str">
        <f t="shared" si="4"/>
        <v/>
      </c>
      <c r="Q50" s="87" t="str">
        <f t="shared" si="5"/>
        <v/>
      </c>
    </row>
    <row r="51" spans="1:17" s="71" customFormat="1" ht="27" customHeight="1" x14ac:dyDescent="0.4">
      <c r="A51" s="77" t="str">
        <f t="shared" si="0"/>
        <v/>
      </c>
      <c r="B51" s="78"/>
      <c r="C51" s="78" t="str">
        <f>IF(B51="","",TEXT(Activity_EYLFOUTCOME[[#This Row],[DATE]],"DDDD"))</f>
        <v/>
      </c>
      <c r="D51" s="79"/>
      <c r="E51" s="80"/>
      <c r="F51" s="81"/>
      <c r="G51" s="75"/>
      <c r="H51" s="75"/>
      <c r="I51" s="75"/>
      <c r="J51" s="75"/>
      <c r="K51" s="74"/>
      <c r="M51" s="87" t="str">
        <f t="shared" si="1"/>
        <v/>
      </c>
      <c r="N51" s="87" t="str">
        <f t="shared" si="2"/>
        <v/>
      </c>
      <c r="O51" s="87" t="str">
        <f t="shared" si="3"/>
        <v/>
      </c>
      <c r="P51" s="87" t="str">
        <f t="shared" si="4"/>
        <v/>
      </c>
      <c r="Q51" s="87" t="str">
        <f t="shared" si="5"/>
        <v/>
      </c>
    </row>
    <row r="52" spans="1:17" s="71" customFormat="1" ht="27" customHeight="1" x14ac:dyDescent="0.4">
      <c r="A52" s="77" t="str">
        <f t="shared" si="0"/>
        <v/>
      </c>
      <c r="B52" s="78"/>
      <c r="C52" s="78" t="str">
        <f>IF(B52="","",TEXT(Activity_EYLFOUTCOME[[#This Row],[DATE]],"DDDD"))</f>
        <v/>
      </c>
      <c r="D52" s="79"/>
      <c r="E52" s="80"/>
      <c r="F52" s="81"/>
      <c r="G52" s="73"/>
      <c r="H52" s="73"/>
      <c r="I52" s="73"/>
      <c r="J52" s="75"/>
      <c r="K52" s="74"/>
      <c r="M52" s="87" t="str">
        <f t="shared" si="1"/>
        <v/>
      </c>
      <c r="N52" s="87" t="str">
        <f t="shared" si="2"/>
        <v/>
      </c>
      <c r="O52" s="87" t="str">
        <f t="shared" si="3"/>
        <v/>
      </c>
      <c r="P52" s="87" t="str">
        <f t="shared" si="4"/>
        <v/>
      </c>
      <c r="Q52" s="87" t="str">
        <f t="shared" si="5"/>
        <v/>
      </c>
    </row>
    <row r="53" spans="1:17" s="71" customFormat="1" ht="27" customHeight="1" thickBot="1" x14ac:dyDescent="0.45">
      <c r="A53" s="77" t="str">
        <f t="shared" si="0"/>
        <v/>
      </c>
      <c r="B53" s="78"/>
      <c r="C53" s="78" t="str">
        <f>IF(B53="","",TEXT(Activity_EYLFOUTCOME[[#This Row],[DATE]],"DDDD"))</f>
        <v/>
      </c>
      <c r="D53" s="79"/>
      <c r="E53" s="80"/>
      <c r="F53" s="81"/>
      <c r="G53" s="75"/>
      <c r="H53" s="75"/>
      <c r="I53" s="75"/>
      <c r="J53" s="73"/>
      <c r="K53" s="74"/>
      <c r="M53" s="87" t="str">
        <f t="shared" si="1"/>
        <v/>
      </c>
      <c r="N53" s="87" t="str">
        <f t="shared" si="2"/>
        <v/>
      </c>
      <c r="O53" s="87" t="str">
        <f t="shared" si="3"/>
        <v/>
      </c>
      <c r="P53" s="87" t="str">
        <f t="shared" si="4"/>
        <v/>
      </c>
      <c r="Q53" s="87" t="str">
        <f t="shared" si="5"/>
        <v/>
      </c>
    </row>
    <row r="54" spans="1:17" s="17" customFormat="1" ht="24.75" thickBot="1" x14ac:dyDescent="0.45">
      <c r="A54" s="31"/>
      <c r="B54" s="32" t="s">
        <v>53</v>
      </c>
      <c r="C54" s="31"/>
      <c r="D54" s="31"/>
      <c r="E54" s="33"/>
      <c r="F54" s="31"/>
      <c r="G54" s="34">
        <f>SUBTOTAL(103,Activity_EYLFOUTCOME[1. Identity])</f>
        <v>1</v>
      </c>
      <c r="H54" s="34">
        <f>SUBTOTAL(103,Activity_EYLFOUTCOME[2. Community])</f>
        <v>1</v>
      </c>
      <c r="I54" s="34">
        <f>SUBTOTAL(103,Activity_EYLFOUTCOME[3. Wellbeing])</f>
        <v>1</v>
      </c>
      <c r="J54" s="34">
        <f>SUBTOTAL(103,Activity_EYLFOUTCOME[4. Learners])</f>
        <v>0</v>
      </c>
      <c r="K54" s="34">
        <f>SUBTOTAL(103,Activity_EYLFOUTCOME[5. Communicators])</f>
        <v>1</v>
      </c>
      <c r="M54" s="87" t="str">
        <f t="shared" si="1"/>
        <v/>
      </c>
      <c r="N54" s="87" t="str">
        <f t="shared" si="2"/>
        <v/>
      </c>
      <c r="O54" s="87" t="str">
        <f t="shared" si="3"/>
        <v/>
      </c>
      <c r="P54" s="87" t="str">
        <f t="shared" si="4"/>
        <v/>
      </c>
      <c r="Q54" s="87" t="str">
        <f t="shared" si="5"/>
        <v/>
      </c>
    </row>
    <row r="55" spans="1:17" ht="15.75" x14ac:dyDescent="0.25">
      <c r="M55" s="87" t="str">
        <f t="shared" si="1"/>
        <v/>
      </c>
      <c r="N55" s="87" t="str">
        <f t="shared" si="2"/>
        <v/>
      </c>
      <c r="O55" s="87" t="str">
        <f t="shared" si="3"/>
        <v/>
      </c>
      <c r="P55" s="87" t="str">
        <f t="shared" si="4"/>
        <v/>
      </c>
      <c r="Q55" s="87" t="str">
        <f t="shared" si="5"/>
        <v/>
      </c>
    </row>
    <row r="56" spans="1:17" ht="15.75" x14ac:dyDescent="0.25">
      <c r="M56" s="87" t="str">
        <f t="shared" si="1"/>
        <v/>
      </c>
      <c r="N56" s="87" t="str">
        <f t="shared" si="2"/>
        <v/>
      </c>
      <c r="O56" s="87" t="str">
        <f t="shared" si="3"/>
        <v/>
      </c>
      <c r="P56" s="87" t="str">
        <f t="shared" si="4"/>
        <v/>
      </c>
      <c r="Q56" s="87" t="str">
        <f t="shared" si="5"/>
        <v/>
      </c>
    </row>
    <row r="57" spans="1:17" ht="15.75" x14ac:dyDescent="0.25">
      <c r="M57" s="87" t="str">
        <f t="shared" si="1"/>
        <v/>
      </c>
      <c r="N57" s="87" t="str">
        <f t="shared" si="2"/>
        <v/>
      </c>
      <c r="O57" s="87" t="str">
        <f t="shared" si="3"/>
        <v/>
      </c>
      <c r="P57" s="87" t="str">
        <f t="shared" si="4"/>
        <v/>
      </c>
      <c r="Q57" s="87" t="str">
        <f t="shared" si="5"/>
        <v/>
      </c>
    </row>
    <row r="58" spans="1:17" ht="15.75" x14ac:dyDescent="0.25">
      <c r="M58" s="87" t="str">
        <f t="shared" si="1"/>
        <v/>
      </c>
      <c r="N58" s="87" t="str">
        <f t="shared" si="2"/>
        <v/>
      </c>
      <c r="O58" s="87" t="str">
        <f t="shared" si="3"/>
        <v/>
      </c>
      <c r="P58" s="87" t="str">
        <f t="shared" si="4"/>
        <v/>
      </c>
      <c r="Q58" s="87" t="str">
        <f t="shared" si="5"/>
        <v/>
      </c>
    </row>
    <row r="59" spans="1:17" ht="15.75" x14ac:dyDescent="0.25">
      <c r="M59" s="87" t="str">
        <f t="shared" si="1"/>
        <v/>
      </c>
      <c r="N59" s="87" t="str">
        <f t="shared" si="2"/>
        <v/>
      </c>
      <c r="O59" s="87" t="str">
        <f t="shared" si="3"/>
        <v/>
      </c>
      <c r="P59" s="87" t="str">
        <f t="shared" si="4"/>
        <v/>
      </c>
      <c r="Q59" s="87" t="str">
        <f t="shared" si="5"/>
        <v/>
      </c>
    </row>
    <row r="60" spans="1:17" ht="15.75" x14ac:dyDescent="0.25">
      <c r="M60" s="87" t="str">
        <f t="shared" si="1"/>
        <v/>
      </c>
      <c r="N60" s="87" t="str">
        <f t="shared" si="2"/>
        <v/>
      </c>
      <c r="O60" s="87" t="str">
        <f t="shared" si="3"/>
        <v/>
      </c>
      <c r="P60" s="87" t="str">
        <f t="shared" si="4"/>
        <v/>
      </c>
      <c r="Q60" s="87" t="str">
        <f t="shared" si="5"/>
        <v/>
      </c>
    </row>
    <row r="61" spans="1:17" ht="15.75" x14ac:dyDescent="0.25">
      <c r="M61" s="87" t="str">
        <f t="shared" si="1"/>
        <v/>
      </c>
      <c r="N61" s="87" t="str">
        <f t="shared" si="2"/>
        <v/>
      </c>
      <c r="O61" s="87" t="str">
        <f t="shared" si="3"/>
        <v/>
      </c>
      <c r="P61" s="87" t="str">
        <f t="shared" si="4"/>
        <v/>
      </c>
      <c r="Q61" s="87" t="str">
        <f t="shared" si="5"/>
        <v/>
      </c>
    </row>
    <row r="62" spans="1:17" ht="15.75" x14ac:dyDescent="0.25">
      <c r="M62" s="87" t="str">
        <f t="shared" si="1"/>
        <v/>
      </c>
      <c r="N62" s="87" t="str">
        <f t="shared" si="2"/>
        <v/>
      </c>
      <c r="O62" s="87" t="str">
        <f t="shared" si="3"/>
        <v/>
      </c>
      <c r="P62" s="87" t="str">
        <f t="shared" si="4"/>
        <v/>
      </c>
      <c r="Q62" s="87" t="str">
        <f t="shared" si="5"/>
        <v/>
      </c>
    </row>
    <row r="63" spans="1:17" ht="15.75" x14ac:dyDescent="0.25">
      <c r="M63" s="87" t="str">
        <f t="shared" si="1"/>
        <v/>
      </c>
      <c r="N63" s="87" t="str">
        <f t="shared" si="2"/>
        <v/>
      </c>
      <c r="O63" s="87" t="str">
        <f t="shared" si="3"/>
        <v/>
      </c>
      <c r="P63" s="87" t="str">
        <f t="shared" si="4"/>
        <v/>
      </c>
      <c r="Q63" s="87" t="str">
        <f t="shared" si="5"/>
        <v/>
      </c>
    </row>
    <row r="64" spans="1:17" ht="15.75" x14ac:dyDescent="0.25">
      <c r="M64" s="87" t="str">
        <f t="shared" si="1"/>
        <v/>
      </c>
      <c r="N64" s="87" t="str">
        <f t="shared" si="2"/>
        <v/>
      </c>
      <c r="O64" s="87" t="str">
        <f t="shared" si="3"/>
        <v/>
      </c>
      <c r="P64" s="87" t="str">
        <f t="shared" si="4"/>
        <v/>
      </c>
      <c r="Q64" s="87" t="str">
        <f t="shared" si="5"/>
        <v/>
      </c>
    </row>
    <row r="65" spans="13:17" ht="15.75" x14ac:dyDescent="0.25">
      <c r="M65" s="87" t="str">
        <f t="shared" si="1"/>
        <v/>
      </c>
      <c r="N65" s="87" t="str">
        <f t="shared" si="2"/>
        <v/>
      </c>
      <c r="O65" s="87" t="str">
        <f t="shared" si="3"/>
        <v/>
      </c>
      <c r="P65" s="87" t="str">
        <f t="shared" si="4"/>
        <v/>
      </c>
      <c r="Q65" s="87" t="str">
        <f t="shared" si="5"/>
        <v/>
      </c>
    </row>
    <row r="66" spans="13:17" ht="15.75" x14ac:dyDescent="0.25">
      <c r="M66" s="87" t="str">
        <f t="shared" si="1"/>
        <v/>
      </c>
      <c r="N66" s="87" t="str">
        <f t="shared" si="2"/>
        <v/>
      </c>
      <c r="O66" s="87" t="str">
        <f t="shared" si="3"/>
        <v/>
      </c>
      <c r="P66" s="87" t="str">
        <f t="shared" si="4"/>
        <v/>
      </c>
      <c r="Q66" s="87" t="str">
        <f t="shared" si="5"/>
        <v/>
      </c>
    </row>
    <row r="67" spans="13:17" ht="15.75" x14ac:dyDescent="0.25">
      <c r="M67" s="87" t="str">
        <f t="shared" si="1"/>
        <v/>
      </c>
      <c r="N67" s="87" t="str">
        <f t="shared" si="2"/>
        <v/>
      </c>
      <c r="O67" s="87" t="str">
        <f t="shared" si="3"/>
        <v/>
      </c>
      <c r="P67" s="87" t="str">
        <f t="shared" si="4"/>
        <v/>
      </c>
      <c r="Q67" s="87" t="str">
        <f t="shared" si="5"/>
        <v/>
      </c>
    </row>
    <row r="68" spans="13:17" ht="15.75" x14ac:dyDescent="0.25">
      <c r="M68" s="87" t="str">
        <f t="shared" si="1"/>
        <v/>
      </c>
      <c r="N68" s="87" t="str">
        <f t="shared" si="2"/>
        <v/>
      </c>
      <c r="O68" s="87" t="str">
        <f t="shared" si="3"/>
        <v/>
      </c>
      <c r="P68" s="87" t="str">
        <f t="shared" si="4"/>
        <v/>
      </c>
      <c r="Q68" s="87" t="str">
        <f t="shared" si="5"/>
        <v/>
      </c>
    </row>
    <row r="69" spans="13:17" ht="15.75" x14ac:dyDescent="0.25">
      <c r="M69" s="87" t="str">
        <f t="shared" ref="M69:M132" si="6">IF(G69="✓","█","")</f>
        <v/>
      </c>
      <c r="N69" s="87" t="str">
        <f t="shared" ref="N69:N132" si="7">IF(H69="✓","█","")</f>
        <v/>
      </c>
      <c r="O69" s="87" t="str">
        <f t="shared" ref="O69:O132" si="8">IF(I69="✓","█","")</f>
        <v/>
      </c>
      <c r="P69" s="87" t="str">
        <f t="shared" ref="P69:P132" si="9">IF(J69="✓","█","")</f>
        <v/>
      </c>
      <c r="Q69" s="87" t="str">
        <f t="shared" ref="Q69:Q132" si="10">IF(K69="✓","█","")</f>
        <v/>
      </c>
    </row>
    <row r="70" spans="13:17" ht="15.75" x14ac:dyDescent="0.25">
      <c r="M70" s="87" t="str">
        <f t="shared" si="6"/>
        <v/>
      </c>
      <c r="N70" s="87" t="str">
        <f t="shared" si="7"/>
        <v/>
      </c>
      <c r="O70" s="87" t="str">
        <f t="shared" si="8"/>
        <v/>
      </c>
      <c r="P70" s="87" t="str">
        <f t="shared" si="9"/>
        <v/>
      </c>
      <c r="Q70" s="87" t="str">
        <f t="shared" si="10"/>
        <v/>
      </c>
    </row>
    <row r="71" spans="13:17" ht="15.75" x14ac:dyDescent="0.25">
      <c r="M71" s="87" t="str">
        <f t="shared" si="6"/>
        <v/>
      </c>
      <c r="N71" s="87" t="str">
        <f t="shared" si="7"/>
        <v/>
      </c>
      <c r="O71" s="87" t="str">
        <f t="shared" si="8"/>
        <v/>
      </c>
      <c r="P71" s="87" t="str">
        <f t="shared" si="9"/>
        <v/>
      </c>
      <c r="Q71" s="87" t="str">
        <f t="shared" si="10"/>
        <v/>
      </c>
    </row>
    <row r="72" spans="13:17" ht="15.75" x14ac:dyDescent="0.25">
      <c r="M72" s="87" t="str">
        <f t="shared" si="6"/>
        <v/>
      </c>
      <c r="N72" s="87" t="str">
        <f t="shared" si="7"/>
        <v/>
      </c>
      <c r="O72" s="87" t="str">
        <f t="shared" si="8"/>
        <v/>
      </c>
      <c r="P72" s="87" t="str">
        <f t="shared" si="9"/>
        <v/>
      </c>
      <c r="Q72" s="87" t="str">
        <f t="shared" si="10"/>
        <v/>
      </c>
    </row>
    <row r="73" spans="13:17" ht="15.75" x14ac:dyDescent="0.25">
      <c r="M73" s="87" t="str">
        <f t="shared" si="6"/>
        <v/>
      </c>
      <c r="N73" s="87" t="str">
        <f t="shared" si="7"/>
        <v/>
      </c>
      <c r="O73" s="87" t="str">
        <f t="shared" si="8"/>
        <v/>
      </c>
      <c r="P73" s="87" t="str">
        <f t="shared" si="9"/>
        <v/>
      </c>
      <c r="Q73" s="87" t="str">
        <f t="shared" si="10"/>
        <v/>
      </c>
    </row>
    <row r="74" spans="13:17" ht="15.75" x14ac:dyDescent="0.25">
      <c r="M74" s="87" t="str">
        <f t="shared" si="6"/>
        <v/>
      </c>
      <c r="N74" s="87" t="str">
        <f t="shared" si="7"/>
        <v/>
      </c>
      <c r="O74" s="87" t="str">
        <f t="shared" si="8"/>
        <v/>
      </c>
      <c r="P74" s="87" t="str">
        <f t="shared" si="9"/>
        <v/>
      </c>
      <c r="Q74" s="87" t="str">
        <f t="shared" si="10"/>
        <v/>
      </c>
    </row>
    <row r="75" spans="13:17" ht="15.75" x14ac:dyDescent="0.25">
      <c r="M75" s="87" t="str">
        <f t="shared" si="6"/>
        <v/>
      </c>
      <c r="N75" s="87" t="str">
        <f t="shared" si="7"/>
        <v/>
      </c>
      <c r="O75" s="87" t="str">
        <f t="shared" si="8"/>
        <v/>
      </c>
      <c r="P75" s="87" t="str">
        <f t="shared" si="9"/>
        <v/>
      </c>
      <c r="Q75" s="87" t="str">
        <f t="shared" si="10"/>
        <v/>
      </c>
    </row>
    <row r="76" spans="13:17" ht="15.75" x14ac:dyDescent="0.25">
      <c r="M76" s="87" t="str">
        <f t="shared" si="6"/>
        <v/>
      </c>
      <c r="N76" s="87" t="str">
        <f t="shared" si="7"/>
        <v/>
      </c>
      <c r="O76" s="87" t="str">
        <f t="shared" si="8"/>
        <v/>
      </c>
      <c r="P76" s="87" t="str">
        <f t="shared" si="9"/>
        <v/>
      </c>
      <c r="Q76" s="87" t="str">
        <f t="shared" si="10"/>
        <v/>
      </c>
    </row>
    <row r="77" spans="13:17" ht="15.75" x14ac:dyDescent="0.25">
      <c r="M77" s="87" t="str">
        <f t="shared" si="6"/>
        <v/>
      </c>
      <c r="N77" s="87" t="str">
        <f t="shared" si="7"/>
        <v/>
      </c>
      <c r="O77" s="87" t="str">
        <f t="shared" si="8"/>
        <v/>
      </c>
      <c r="P77" s="87" t="str">
        <f t="shared" si="9"/>
        <v/>
      </c>
      <c r="Q77" s="87" t="str">
        <f t="shared" si="10"/>
        <v/>
      </c>
    </row>
    <row r="78" spans="13:17" ht="15.75" x14ac:dyDescent="0.25">
      <c r="M78" s="87" t="str">
        <f t="shared" si="6"/>
        <v/>
      </c>
      <c r="N78" s="87" t="str">
        <f t="shared" si="7"/>
        <v/>
      </c>
      <c r="O78" s="87" t="str">
        <f t="shared" si="8"/>
        <v/>
      </c>
      <c r="P78" s="87" t="str">
        <f t="shared" si="9"/>
        <v/>
      </c>
      <c r="Q78" s="87" t="str">
        <f t="shared" si="10"/>
        <v/>
      </c>
    </row>
    <row r="79" spans="13:17" ht="15.75" x14ac:dyDescent="0.25">
      <c r="M79" s="87" t="str">
        <f t="shared" si="6"/>
        <v/>
      </c>
      <c r="N79" s="87" t="str">
        <f t="shared" si="7"/>
        <v/>
      </c>
      <c r="O79" s="87" t="str">
        <f t="shared" si="8"/>
        <v/>
      </c>
      <c r="P79" s="87" t="str">
        <f t="shared" si="9"/>
        <v/>
      </c>
      <c r="Q79" s="87" t="str">
        <f t="shared" si="10"/>
        <v/>
      </c>
    </row>
    <row r="80" spans="13:17" ht="15.75" x14ac:dyDescent="0.25">
      <c r="M80" s="87" t="str">
        <f t="shared" si="6"/>
        <v/>
      </c>
      <c r="N80" s="87" t="str">
        <f t="shared" si="7"/>
        <v/>
      </c>
      <c r="O80" s="87" t="str">
        <f t="shared" si="8"/>
        <v/>
      </c>
      <c r="P80" s="87" t="str">
        <f t="shared" si="9"/>
        <v/>
      </c>
      <c r="Q80" s="87" t="str">
        <f t="shared" si="10"/>
        <v/>
      </c>
    </row>
    <row r="81" spans="13:17" ht="15.75" x14ac:dyDescent="0.25">
      <c r="M81" s="87" t="str">
        <f t="shared" si="6"/>
        <v/>
      </c>
      <c r="N81" s="87" t="str">
        <f t="shared" si="7"/>
        <v/>
      </c>
      <c r="O81" s="87" t="str">
        <f t="shared" si="8"/>
        <v/>
      </c>
      <c r="P81" s="87" t="str">
        <f t="shared" si="9"/>
        <v/>
      </c>
      <c r="Q81" s="87" t="str">
        <f t="shared" si="10"/>
        <v/>
      </c>
    </row>
    <row r="82" spans="13:17" ht="15.75" x14ac:dyDescent="0.25">
      <c r="M82" s="87" t="str">
        <f t="shared" si="6"/>
        <v/>
      </c>
      <c r="N82" s="87" t="str">
        <f t="shared" si="7"/>
        <v/>
      </c>
      <c r="O82" s="87" t="str">
        <f t="shared" si="8"/>
        <v/>
      </c>
      <c r="P82" s="87" t="str">
        <f t="shared" si="9"/>
        <v/>
      </c>
      <c r="Q82" s="87" t="str">
        <f t="shared" si="10"/>
        <v/>
      </c>
    </row>
    <row r="83" spans="13:17" ht="15.75" x14ac:dyDescent="0.25">
      <c r="M83" s="87" t="str">
        <f t="shared" si="6"/>
        <v/>
      </c>
      <c r="N83" s="87" t="str">
        <f t="shared" si="7"/>
        <v/>
      </c>
      <c r="O83" s="87" t="str">
        <f t="shared" si="8"/>
        <v/>
      </c>
      <c r="P83" s="87" t="str">
        <f t="shared" si="9"/>
        <v/>
      </c>
      <c r="Q83" s="87" t="str">
        <f t="shared" si="10"/>
        <v/>
      </c>
    </row>
    <row r="84" spans="13:17" ht="15.75" x14ac:dyDescent="0.25">
      <c r="M84" s="87" t="str">
        <f t="shared" si="6"/>
        <v/>
      </c>
      <c r="N84" s="87" t="str">
        <f t="shared" si="7"/>
        <v/>
      </c>
      <c r="O84" s="87" t="str">
        <f t="shared" si="8"/>
        <v/>
      </c>
      <c r="P84" s="87" t="str">
        <f t="shared" si="9"/>
        <v/>
      </c>
      <c r="Q84" s="87" t="str">
        <f t="shared" si="10"/>
        <v/>
      </c>
    </row>
    <row r="85" spans="13:17" ht="15.75" x14ac:dyDescent="0.25">
      <c r="M85" s="87" t="str">
        <f t="shared" si="6"/>
        <v/>
      </c>
      <c r="N85" s="87" t="str">
        <f t="shared" si="7"/>
        <v/>
      </c>
      <c r="O85" s="87" t="str">
        <f t="shared" si="8"/>
        <v/>
      </c>
      <c r="P85" s="87" t="str">
        <f t="shared" si="9"/>
        <v/>
      </c>
      <c r="Q85" s="87" t="str">
        <f t="shared" si="10"/>
        <v/>
      </c>
    </row>
    <row r="86" spans="13:17" ht="15.75" x14ac:dyDescent="0.25">
      <c r="M86" s="87" t="str">
        <f t="shared" si="6"/>
        <v/>
      </c>
      <c r="N86" s="87" t="str">
        <f t="shared" si="7"/>
        <v/>
      </c>
      <c r="O86" s="87" t="str">
        <f t="shared" si="8"/>
        <v/>
      </c>
      <c r="P86" s="87" t="str">
        <f t="shared" si="9"/>
        <v/>
      </c>
      <c r="Q86" s="87" t="str">
        <f t="shared" si="10"/>
        <v/>
      </c>
    </row>
    <row r="87" spans="13:17" ht="15.75" x14ac:dyDescent="0.25">
      <c r="M87" s="87" t="str">
        <f t="shared" si="6"/>
        <v/>
      </c>
      <c r="N87" s="87" t="str">
        <f t="shared" si="7"/>
        <v/>
      </c>
      <c r="O87" s="87" t="str">
        <f t="shared" si="8"/>
        <v/>
      </c>
      <c r="P87" s="87" t="str">
        <f t="shared" si="9"/>
        <v/>
      </c>
      <c r="Q87" s="87" t="str">
        <f t="shared" si="10"/>
        <v/>
      </c>
    </row>
    <row r="88" spans="13:17" ht="15.75" x14ac:dyDescent="0.25">
      <c r="M88" s="87" t="str">
        <f t="shared" si="6"/>
        <v/>
      </c>
      <c r="N88" s="87" t="str">
        <f t="shared" si="7"/>
        <v/>
      </c>
      <c r="O88" s="87" t="str">
        <f t="shared" si="8"/>
        <v/>
      </c>
      <c r="P88" s="87" t="str">
        <f t="shared" si="9"/>
        <v/>
      </c>
      <c r="Q88" s="87" t="str">
        <f t="shared" si="10"/>
        <v/>
      </c>
    </row>
    <row r="89" spans="13:17" ht="15.75" x14ac:dyDescent="0.25">
      <c r="M89" s="87" t="str">
        <f t="shared" si="6"/>
        <v/>
      </c>
      <c r="N89" s="87" t="str">
        <f t="shared" si="7"/>
        <v/>
      </c>
      <c r="O89" s="87" t="str">
        <f t="shared" si="8"/>
        <v/>
      </c>
      <c r="P89" s="87" t="str">
        <f t="shared" si="9"/>
        <v/>
      </c>
      <c r="Q89" s="87" t="str">
        <f t="shared" si="10"/>
        <v/>
      </c>
    </row>
    <row r="90" spans="13:17" ht="15.75" x14ac:dyDescent="0.25">
      <c r="M90" s="87" t="str">
        <f t="shared" si="6"/>
        <v/>
      </c>
      <c r="N90" s="87" t="str">
        <f t="shared" si="7"/>
        <v/>
      </c>
      <c r="O90" s="87" t="str">
        <f t="shared" si="8"/>
        <v/>
      </c>
      <c r="P90" s="87" t="str">
        <f t="shared" si="9"/>
        <v/>
      </c>
      <c r="Q90" s="87" t="str">
        <f t="shared" si="10"/>
        <v/>
      </c>
    </row>
    <row r="91" spans="13:17" ht="15.75" x14ac:dyDescent="0.25">
      <c r="M91" s="87" t="str">
        <f t="shared" si="6"/>
        <v/>
      </c>
      <c r="N91" s="87" t="str">
        <f t="shared" si="7"/>
        <v/>
      </c>
      <c r="O91" s="87" t="str">
        <f t="shared" si="8"/>
        <v/>
      </c>
      <c r="P91" s="87" t="str">
        <f t="shared" si="9"/>
        <v/>
      </c>
      <c r="Q91" s="87" t="str">
        <f t="shared" si="10"/>
        <v/>
      </c>
    </row>
    <row r="92" spans="13:17" ht="15.75" x14ac:dyDescent="0.25">
      <c r="M92" s="87" t="str">
        <f t="shared" si="6"/>
        <v/>
      </c>
      <c r="N92" s="87" t="str">
        <f t="shared" si="7"/>
        <v/>
      </c>
      <c r="O92" s="87" t="str">
        <f t="shared" si="8"/>
        <v/>
      </c>
      <c r="P92" s="87" t="str">
        <f t="shared" si="9"/>
        <v/>
      </c>
      <c r="Q92" s="87" t="str">
        <f t="shared" si="10"/>
        <v/>
      </c>
    </row>
    <row r="93" spans="13:17" ht="15.75" x14ac:dyDescent="0.25">
      <c r="M93" s="87" t="str">
        <f t="shared" si="6"/>
        <v/>
      </c>
      <c r="N93" s="87" t="str">
        <f t="shared" si="7"/>
        <v/>
      </c>
      <c r="O93" s="87" t="str">
        <f t="shared" si="8"/>
        <v/>
      </c>
      <c r="P93" s="87" t="str">
        <f t="shared" si="9"/>
        <v/>
      </c>
      <c r="Q93" s="87" t="str">
        <f t="shared" si="10"/>
        <v/>
      </c>
    </row>
    <row r="94" spans="13:17" ht="15.75" x14ac:dyDescent="0.25">
      <c r="M94" s="87" t="str">
        <f t="shared" si="6"/>
        <v/>
      </c>
      <c r="N94" s="87" t="str">
        <f t="shared" si="7"/>
        <v/>
      </c>
      <c r="O94" s="87" t="str">
        <f t="shared" si="8"/>
        <v/>
      </c>
      <c r="P94" s="87" t="str">
        <f t="shared" si="9"/>
        <v/>
      </c>
      <c r="Q94" s="87" t="str">
        <f t="shared" si="10"/>
        <v/>
      </c>
    </row>
    <row r="95" spans="13:17" ht="15.75" x14ac:dyDescent="0.25">
      <c r="M95" s="87" t="str">
        <f t="shared" si="6"/>
        <v/>
      </c>
      <c r="N95" s="87" t="str">
        <f t="shared" si="7"/>
        <v/>
      </c>
      <c r="O95" s="87" t="str">
        <f t="shared" si="8"/>
        <v/>
      </c>
      <c r="P95" s="87" t="str">
        <f t="shared" si="9"/>
        <v/>
      </c>
      <c r="Q95" s="87" t="str">
        <f t="shared" si="10"/>
        <v/>
      </c>
    </row>
    <row r="96" spans="13:17" ht="15.75" x14ac:dyDescent="0.25">
      <c r="M96" s="87" t="str">
        <f t="shared" si="6"/>
        <v/>
      </c>
      <c r="N96" s="87" t="str">
        <f t="shared" si="7"/>
        <v/>
      </c>
      <c r="O96" s="87" t="str">
        <f t="shared" si="8"/>
        <v/>
      </c>
      <c r="P96" s="87" t="str">
        <f t="shared" si="9"/>
        <v/>
      </c>
      <c r="Q96" s="87" t="str">
        <f t="shared" si="10"/>
        <v/>
      </c>
    </row>
    <row r="97" spans="13:17" ht="15.75" x14ac:dyDescent="0.25">
      <c r="M97" s="87" t="str">
        <f t="shared" si="6"/>
        <v/>
      </c>
      <c r="N97" s="87" t="str">
        <f t="shared" si="7"/>
        <v/>
      </c>
      <c r="O97" s="87" t="str">
        <f t="shared" si="8"/>
        <v/>
      </c>
      <c r="P97" s="87" t="str">
        <f t="shared" si="9"/>
        <v/>
      </c>
      <c r="Q97" s="87" t="str">
        <f t="shared" si="10"/>
        <v/>
      </c>
    </row>
    <row r="98" spans="13:17" ht="15.75" x14ac:dyDescent="0.25">
      <c r="M98" s="87" t="str">
        <f t="shared" si="6"/>
        <v/>
      </c>
      <c r="N98" s="87" t="str">
        <f t="shared" si="7"/>
        <v/>
      </c>
      <c r="O98" s="87" t="str">
        <f t="shared" si="8"/>
        <v/>
      </c>
      <c r="P98" s="87" t="str">
        <f t="shared" si="9"/>
        <v/>
      </c>
      <c r="Q98" s="87" t="str">
        <f t="shared" si="10"/>
        <v/>
      </c>
    </row>
    <row r="99" spans="13:17" ht="15.75" x14ac:dyDescent="0.25">
      <c r="M99" s="87" t="str">
        <f t="shared" si="6"/>
        <v/>
      </c>
      <c r="N99" s="87" t="str">
        <f t="shared" si="7"/>
        <v/>
      </c>
      <c r="O99" s="87" t="str">
        <f t="shared" si="8"/>
        <v/>
      </c>
      <c r="P99" s="87" t="str">
        <f t="shared" si="9"/>
        <v/>
      </c>
      <c r="Q99" s="87" t="str">
        <f t="shared" si="10"/>
        <v/>
      </c>
    </row>
    <row r="100" spans="13:17" ht="15.75" x14ac:dyDescent="0.25">
      <c r="M100" s="87" t="str">
        <f t="shared" si="6"/>
        <v/>
      </c>
      <c r="N100" s="87" t="str">
        <f t="shared" si="7"/>
        <v/>
      </c>
      <c r="O100" s="87" t="str">
        <f t="shared" si="8"/>
        <v/>
      </c>
      <c r="P100" s="87" t="str">
        <f t="shared" si="9"/>
        <v/>
      </c>
      <c r="Q100" s="87" t="str">
        <f t="shared" si="10"/>
        <v/>
      </c>
    </row>
    <row r="101" spans="13:17" ht="15.75" x14ac:dyDescent="0.25">
      <c r="M101" s="87" t="str">
        <f t="shared" si="6"/>
        <v/>
      </c>
      <c r="N101" s="87" t="str">
        <f t="shared" si="7"/>
        <v/>
      </c>
      <c r="O101" s="87" t="str">
        <f t="shared" si="8"/>
        <v/>
      </c>
      <c r="P101" s="87" t="str">
        <f t="shared" si="9"/>
        <v/>
      </c>
      <c r="Q101" s="87" t="str">
        <f t="shared" si="10"/>
        <v/>
      </c>
    </row>
    <row r="102" spans="13:17" ht="15.75" x14ac:dyDescent="0.25">
      <c r="M102" s="87" t="str">
        <f t="shared" si="6"/>
        <v/>
      </c>
      <c r="N102" s="87" t="str">
        <f t="shared" si="7"/>
        <v/>
      </c>
      <c r="O102" s="87" t="str">
        <f t="shared" si="8"/>
        <v/>
      </c>
      <c r="P102" s="87" t="str">
        <f t="shared" si="9"/>
        <v/>
      </c>
      <c r="Q102" s="87" t="str">
        <f t="shared" si="10"/>
        <v/>
      </c>
    </row>
    <row r="103" spans="13:17" ht="15.75" x14ac:dyDescent="0.25">
      <c r="M103" s="87" t="str">
        <f t="shared" si="6"/>
        <v/>
      </c>
      <c r="N103" s="87" t="str">
        <f t="shared" si="7"/>
        <v/>
      </c>
      <c r="O103" s="87" t="str">
        <f t="shared" si="8"/>
        <v/>
      </c>
      <c r="P103" s="87" t="str">
        <f t="shared" si="9"/>
        <v/>
      </c>
      <c r="Q103" s="87" t="str">
        <f t="shared" si="10"/>
        <v/>
      </c>
    </row>
    <row r="104" spans="13:17" ht="15.75" x14ac:dyDescent="0.25">
      <c r="M104" s="87" t="str">
        <f t="shared" si="6"/>
        <v/>
      </c>
      <c r="N104" s="87" t="str">
        <f t="shared" si="7"/>
        <v/>
      </c>
      <c r="O104" s="87" t="str">
        <f t="shared" si="8"/>
        <v/>
      </c>
      <c r="P104" s="87" t="str">
        <f t="shared" si="9"/>
        <v/>
      </c>
      <c r="Q104" s="87" t="str">
        <f t="shared" si="10"/>
        <v/>
      </c>
    </row>
    <row r="105" spans="13:17" ht="15.75" x14ac:dyDescent="0.25">
      <c r="M105" s="87" t="str">
        <f t="shared" si="6"/>
        <v/>
      </c>
      <c r="N105" s="87" t="str">
        <f t="shared" si="7"/>
        <v/>
      </c>
      <c r="O105" s="87" t="str">
        <f t="shared" si="8"/>
        <v/>
      </c>
      <c r="P105" s="87" t="str">
        <f t="shared" si="9"/>
        <v/>
      </c>
      <c r="Q105" s="87" t="str">
        <f t="shared" si="10"/>
        <v/>
      </c>
    </row>
    <row r="106" spans="13:17" ht="15.75" x14ac:dyDescent="0.25">
      <c r="M106" s="87" t="str">
        <f t="shared" si="6"/>
        <v/>
      </c>
      <c r="N106" s="87" t="str">
        <f t="shared" si="7"/>
        <v/>
      </c>
      <c r="O106" s="87" t="str">
        <f t="shared" si="8"/>
        <v/>
      </c>
      <c r="P106" s="87" t="str">
        <f t="shared" si="9"/>
        <v/>
      </c>
      <c r="Q106" s="87" t="str">
        <f t="shared" si="10"/>
        <v/>
      </c>
    </row>
    <row r="107" spans="13:17" ht="15.75" x14ac:dyDescent="0.25">
      <c r="M107" s="87" t="str">
        <f t="shared" si="6"/>
        <v/>
      </c>
      <c r="N107" s="87" t="str">
        <f t="shared" si="7"/>
        <v/>
      </c>
      <c r="O107" s="87" t="str">
        <f t="shared" si="8"/>
        <v/>
      </c>
      <c r="P107" s="87" t="str">
        <f t="shared" si="9"/>
        <v/>
      </c>
      <c r="Q107" s="87" t="str">
        <f t="shared" si="10"/>
        <v/>
      </c>
    </row>
    <row r="108" spans="13:17" ht="15.75" x14ac:dyDescent="0.25">
      <c r="M108" s="87" t="str">
        <f t="shared" si="6"/>
        <v/>
      </c>
      <c r="N108" s="87" t="str">
        <f t="shared" si="7"/>
        <v/>
      </c>
      <c r="O108" s="87" t="str">
        <f t="shared" si="8"/>
        <v/>
      </c>
      <c r="P108" s="87" t="str">
        <f t="shared" si="9"/>
        <v/>
      </c>
      <c r="Q108" s="87" t="str">
        <f t="shared" si="10"/>
        <v/>
      </c>
    </row>
    <row r="109" spans="13:17" ht="15.75" x14ac:dyDescent="0.25">
      <c r="M109" s="87" t="str">
        <f t="shared" si="6"/>
        <v/>
      </c>
      <c r="N109" s="87" t="str">
        <f t="shared" si="7"/>
        <v/>
      </c>
      <c r="O109" s="87" t="str">
        <f t="shared" si="8"/>
        <v/>
      </c>
      <c r="P109" s="87" t="str">
        <f t="shared" si="9"/>
        <v/>
      </c>
      <c r="Q109" s="87" t="str">
        <f t="shared" si="10"/>
        <v/>
      </c>
    </row>
    <row r="110" spans="13:17" ht="15.75" x14ac:dyDescent="0.25">
      <c r="M110" s="87" t="str">
        <f t="shared" si="6"/>
        <v/>
      </c>
      <c r="N110" s="87" t="str">
        <f t="shared" si="7"/>
        <v/>
      </c>
      <c r="O110" s="87" t="str">
        <f t="shared" si="8"/>
        <v/>
      </c>
      <c r="P110" s="87" t="str">
        <f t="shared" si="9"/>
        <v/>
      </c>
      <c r="Q110" s="87" t="str">
        <f t="shared" si="10"/>
        <v/>
      </c>
    </row>
    <row r="111" spans="13:17" ht="15.75" x14ac:dyDescent="0.25">
      <c r="M111" s="87" t="str">
        <f t="shared" si="6"/>
        <v/>
      </c>
      <c r="N111" s="87" t="str">
        <f t="shared" si="7"/>
        <v/>
      </c>
      <c r="O111" s="87" t="str">
        <f t="shared" si="8"/>
        <v/>
      </c>
      <c r="P111" s="87" t="str">
        <f t="shared" si="9"/>
        <v/>
      </c>
      <c r="Q111" s="87" t="str">
        <f t="shared" si="10"/>
        <v/>
      </c>
    </row>
    <row r="112" spans="13:17" ht="15.75" x14ac:dyDescent="0.25">
      <c r="M112" s="87" t="str">
        <f t="shared" si="6"/>
        <v/>
      </c>
      <c r="N112" s="87" t="str">
        <f t="shared" si="7"/>
        <v/>
      </c>
      <c r="O112" s="87" t="str">
        <f t="shared" si="8"/>
        <v/>
      </c>
      <c r="P112" s="87" t="str">
        <f t="shared" si="9"/>
        <v/>
      </c>
      <c r="Q112" s="87" t="str">
        <f t="shared" si="10"/>
        <v/>
      </c>
    </row>
    <row r="113" spans="13:17" ht="15.75" x14ac:dyDescent="0.25">
      <c r="M113" s="87" t="str">
        <f t="shared" si="6"/>
        <v/>
      </c>
      <c r="N113" s="87" t="str">
        <f t="shared" si="7"/>
        <v/>
      </c>
      <c r="O113" s="87" t="str">
        <f t="shared" si="8"/>
        <v/>
      </c>
      <c r="P113" s="87" t="str">
        <f t="shared" si="9"/>
        <v/>
      </c>
      <c r="Q113" s="87" t="str">
        <f t="shared" si="10"/>
        <v/>
      </c>
    </row>
    <row r="114" spans="13:17" ht="15.75" x14ac:dyDescent="0.25">
      <c r="M114" s="87" t="str">
        <f t="shared" si="6"/>
        <v/>
      </c>
      <c r="N114" s="87" t="str">
        <f t="shared" si="7"/>
        <v/>
      </c>
      <c r="O114" s="87" t="str">
        <f t="shared" si="8"/>
        <v/>
      </c>
      <c r="P114" s="87" t="str">
        <f t="shared" si="9"/>
        <v/>
      </c>
      <c r="Q114" s="87" t="str">
        <f t="shared" si="10"/>
        <v/>
      </c>
    </row>
    <row r="115" spans="13:17" ht="15.75" x14ac:dyDescent="0.25">
      <c r="M115" s="87" t="str">
        <f t="shared" si="6"/>
        <v/>
      </c>
      <c r="N115" s="87" t="str">
        <f t="shared" si="7"/>
        <v/>
      </c>
      <c r="O115" s="87" t="str">
        <f t="shared" si="8"/>
        <v/>
      </c>
      <c r="P115" s="87" t="str">
        <f t="shared" si="9"/>
        <v/>
      </c>
      <c r="Q115" s="87" t="str">
        <f t="shared" si="10"/>
        <v/>
      </c>
    </row>
    <row r="116" spans="13:17" ht="15.75" x14ac:dyDescent="0.25">
      <c r="M116" s="87" t="str">
        <f t="shared" si="6"/>
        <v/>
      </c>
      <c r="N116" s="87" t="str">
        <f t="shared" si="7"/>
        <v/>
      </c>
      <c r="O116" s="87" t="str">
        <f t="shared" si="8"/>
        <v/>
      </c>
      <c r="P116" s="87" t="str">
        <f t="shared" si="9"/>
        <v/>
      </c>
      <c r="Q116" s="87" t="str">
        <f t="shared" si="10"/>
        <v/>
      </c>
    </row>
    <row r="117" spans="13:17" ht="15.75" x14ac:dyDescent="0.25">
      <c r="M117" s="87" t="str">
        <f t="shared" si="6"/>
        <v/>
      </c>
      <c r="N117" s="87" t="str">
        <f t="shared" si="7"/>
        <v/>
      </c>
      <c r="O117" s="87" t="str">
        <f t="shared" si="8"/>
        <v/>
      </c>
      <c r="P117" s="87" t="str">
        <f t="shared" si="9"/>
        <v/>
      </c>
      <c r="Q117" s="87" t="str">
        <f t="shared" si="10"/>
        <v/>
      </c>
    </row>
    <row r="118" spans="13:17" ht="15.75" x14ac:dyDescent="0.25">
      <c r="M118" s="87" t="str">
        <f t="shared" si="6"/>
        <v/>
      </c>
      <c r="N118" s="87" t="str">
        <f t="shared" si="7"/>
        <v/>
      </c>
      <c r="O118" s="87" t="str">
        <f t="shared" si="8"/>
        <v/>
      </c>
      <c r="P118" s="87" t="str">
        <f t="shared" si="9"/>
        <v/>
      </c>
      <c r="Q118" s="87" t="str">
        <f t="shared" si="10"/>
        <v/>
      </c>
    </row>
    <row r="119" spans="13:17" ht="15.75" x14ac:dyDescent="0.25">
      <c r="M119" s="87" t="str">
        <f t="shared" si="6"/>
        <v/>
      </c>
      <c r="N119" s="87" t="str">
        <f t="shared" si="7"/>
        <v/>
      </c>
      <c r="O119" s="87" t="str">
        <f t="shared" si="8"/>
        <v/>
      </c>
      <c r="P119" s="87" t="str">
        <f t="shared" si="9"/>
        <v/>
      </c>
      <c r="Q119" s="87" t="str">
        <f t="shared" si="10"/>
        <v/>
      </c>
    </row>
    <row r="120" spans="13:17" ht="15.75" x14ac:dyDescent="0.25">
      <c r="M120" s="87" t="str">
        <f t="shared" si="6"/>
        <v/>
      </c>
      <c r="N120" s="87" t="str">
        <f t="shared" si="7"/>
        <v/>
      </c>
      <c r="O120" s="87" t="str">
        <f t="shared" si="8"/>
        <v/>
      </c>
      <c r="P120" s="87" t="str">
        <f t="shared" si="9"/>
        <v/>
      </c>
      <c r="Q120" s="87" t="str">
        <f t="shared" si="10"/>
        <v/>
      </c>
    </row>
    <row r="121" spans="13:17" ht="15.75" x14ac:dyDescent="0.25">
      <c r="M121" s="87" t="str">
        <f t="shared" si="6"/>
        <v/>
      </c>
      <c r="N121" s="87" t="str">
        <f t="shared" si="7"/>
        <v/>
      </c>
      <c r="O121" s="87" t="str">
        <f t="shared" si="8"/>
        <v/>
      </c>
      <c r="P121" s="87" t="str">
        <f t="shared" si="9"/>
        <v/>
      </c>
      <c r="Q121" s="87" t="str">
        <f t="shared" si="10"/>
        <v/>
      </c>
    </row>
    <row r="122" spans="13:17" ht="15.75" x14ac:dyDescent="0.25">
      <c r="M122" s="87" t="str">
        <f t="shared" si="6"/>
        <v/>
      </c>
      <c r="N122" s="87" t="str">
        <f t="shared" si="7"/>
        <v/>
      </c>
      <c r="O122" s="87" t="str">
        <f t="shared" si="8"/>
        <v/>
      </c>
      <c r="P122" s="87" t="str">
        <f t="shared" si="9"/>
        <v/>
      </c>
      <c r="Q122" s="87" t="str">
        <f t="shared" si="10"/>
        <v/>
      </c>
    </row>
    <row r="123" spans="13:17" ht="15.75" x14ac:dyDescent="0.25">
      <c r="M123" s="87" t="str">
        <f t="shared" si="6"/>
        <v/>
      </c>
      <c r="N123" s="87" t="str">
        <f t="shared" si="7"/>
        <v/>
      </c>
      <c r="O123" s="87" t="str">
        <f t="shared" si="8"/>
        <v/>
      </c>
      <c r="P123" s="87" t="str">
        <f t="shared" si="9"/>
        <v/>
      </c>
      <c r="Q123" s="87" t="str">
        <f t="shared" si="10"/>
        <v/>
      </c>
    </row>
    <row r="124" spans="13:17" ht="15.75" x14ac:dyDescent="0.25">
      <c r="M124" s="87" t="str">
        <f t="shared" si="6"/>
        <v/>
      </c>
      <c r="N124" s="87" t="str">
        <f t="shared" si="7"/>
        <v/>
      </c>
      <c r="O124" s="87" t="str">
        <f t="shared" si="8"/>
        <v/>
      </c>
      <c r="P124" s="87" t="str">
        <f t="shared" si="9"/>
        <v/>
      </c>
      <c r="Q124" s="87" t="str">
        <f t="shared" si="10"/>
        <v/>
      </c>
    </row>
    <row r="125" spans="13:17" ht="15.75" x14ac:dyDescent="0.25">
      <c r="M125" s="87" t="str">
        <f t="shared" si="6"/>
        <v/>
      </c>
      <c r="N125" s="87" t="str">
        <f t="shared" si="7"/>
        <v/>
      </c>
      <c r="O125" s="87" t="str">
        <f t="shared" si="8"/>
        <v/>
      </c>
      <c r="P125" s="87" t="str">
        <f t="shared" si="9"/>
        <v/>
      </c>
      <c r="Q125" s="87" t="str">
        <f t="shared" si="10"/>
        <v/>
      </c>
    </row>
    <row r="126" spans="13:17" ht="15.75" x14ac:dyDescent="0.25">
      <c r="M126" s="87" t="str">
        <f t="shared" si="6"/>
        <v/>
      </c>
      <c r="N126" s="87" t="str">
        <f t="shared" si="7"/>
        <v/>
      </c>
      <c r="O126" s="87" t="str">
        <f t="shared" si="8"/>
        <v/>
      </c>
      <c r="P126" s="87" t="str">
        <f t="shared" si="9"/>
        <v/>
      </c>
      <c r="Q126" s="87" t="str">
        <f t="shared" si="10"/>
        <v/>
      </c>
    </row>
    <row r="127" spans="13:17" ht="15.75" x14ac:dyDescent="0.25">
      <c r="M127" s="87" t="str">
        <f t="shared" si="6"/>
        <v/>
      </c>
      <c r="N127" s="87" t="str">
        <f t="shared" si="7"/>
        <v/>
      </c>
      <c r="O127" s="87" t="str">
        <f t="shared" si="8"/>
        <v/>
      </c>
      <c r="P127" s="87" t="str">
        <f t="shared" si="9"/>
        <v/>
      </c>
      <c r="Q127" s="87" t="str">
        <f t="shared" si="10"/>
        <v/>
      </c>
    </row>
    <row r="128" spans="13:17" ht="15.75" x14ac:dyDescent="0.25">
      <c r="M128" s="87" t="str">
        <f t="shared" si="6"/>
        <v/>
      </c>
      <c r="N128" s="87" t="str">
        <f t="shared" si="7"/>
        <v/>
      </c>
      <c r="O128" s="87" t="str">
        <f t="shared" si="8"/>
        <v/>
      </c>
      <c r="P128" s="87" t="str">
        <f t="shared" si="9"/>
        <v/>
      </c>
      <c r="Q128" s="87" t="str">
        <f t="shared" si="10"/>
        <v/>
      </c>
    </row>
    <row r="129" spans="13:17" ht="15.75" x14ac:dyDescent="0.25">
      <c r="M129" s="87" t="str">
        <f t="shared" si="6"/>
        <v/>
      </c>
      <c r="N129" s="87" t="str">
        <f t="shared" si="7"/>
        <v/>
      </c>
      <c r="O129" s="87" t="str">
        <f t="shared" si="8"/>
        <v/>
      </c>
      <c r="P129" s="87" t="str">
        <f t="shared" si="9"/>
        <v/>
      </c>
      <c r="Q129" s="87" t="str">
        <f t="shared" si="10"/>
        <v/>
      </c>
    </row>
    <row r="130" spans="13:17" ht="15.75" x14ac:dyDescent="0.25">
      <c r="M130" s="87" t="str">
        <f t="shared" si="6"/>
        <v/>
      </c>
      <c r="N130" s="87" t="str">
        <f t="shared" si="7"/>
        <v/>
      </c>
      <c r="O130" s="87" t="str">
        <f t="shared" si="8"/>
        <v/>
      </c>
      <c r="P130" s="87" t="str">
        <f t="shared" si="9"/>
        <v/>
      </c>
      <c r="Q130" s="87" t="str">
        <f t="shared" si="10"/>
        <v/>
      </c>
    </row>
    <row r="131" spans="13:17" ht="15.75" x14ac:dyDescent="0.25">
      <c r="M131" s="87" t="str">
        <f t="shared" si="6"/>
        <v/>
      </c>
      <c r="N131" s="87" t="str">
        <f t="shared" si="7"/>
        <v/>
      </c>
      <c r="O131" s="87" t="str">
        <f t="shared" si="8"/>
        <v/>
      </c>
      <c r="P131" s="87" t="str">
        <f t="shared" si="9"/>
        <v/>
      </c>
      <c r="Q131" s="87" t="str">
        <f t="shared" si="10"/>
        <v/>
      </c>
    </row>
    <row r="132" spans="13:17" ht="15.75" x14ac:dyDescent="0.25">
      <c r="M132" s="87" t="str">
        <f t="shared" si="6"/>
        <v/>
      </c>
      <c r="N132" s="87" t="str">
        <f t="shared" si="7"/>
        <v/>
      </c>
      <c r="O132" s="87" t="str">
        <f t="shared" si="8"/>
        <v/>
      </c>
      <c r="P132" s="87" t="str">
        <f t="shared" si="9"/>
        <v/>
      </c>
      <c r="Q132" s="87" t="str">
        <f t="shared" si="10"/>
        <v/>
      </c>
    </row>
    <row r="133" spans="13:17" ht="15.75" x14ac:dyDescent="0.25">
      <c r="M133" s="87" t="str">
        <f t="shared" ref="M133:M161" si="11">IF(G133="✓","█","")</f>
        <v/>
      </c>
      <c r="N133" s="87" t="str">
        <f t="shared" ref="N133:N161" si="12">IF(H133="✓","█","")</f>
        <v/>
      </c>
      <c r="O133" s="87" t="str">
        <f t="shared" ref="O133:O161" si="13">IF(I133="✓","█","")</f>
        <v/>
      </c>
      <c r="P133" s="87" t="str">
        <f t="shared" ref="P133:P161" si="14">IF(J133="✓","█","")</f>
        <v/>
      </c>
      <c r="Q133" s="87" t="str">
        <f t="shared" ref="Q133:Q161" si="15">IF(K133="✓","█","")</f>
        <v/>
      </c>
    </row>
    <row r="134" spans="13:17" ht="15.75" x14ac:dyDescent="0.25">
      <c r="M134" s="87" t="str">
        <f t="shared" si="11"/>
        <v/>
      </c>
      <c r="N134" s="87" t="str">
        <f t="shared" si="12"/>
        <v/>
      </c>
      <c r="O134" s="87" t="str">
        <f t="shared" si="13"/>
        <v/>
      </c>
      <c r="P134" s="87" t="str">
        <f t="shared" si="14"/>
        <v/>
      </c>
      <c r="Q134" s="87" t="str">
        <f t="shared" si="15"/>
        <v/>
      </c>
    </row>
    <row r="135" spans="13:17" ht="15.75" x14ac:dyDescent="0.25">
      <c r="M135" s="87" t="str">
        <f t="shared" si="11"/>
        <v/>
      </c>
      <c r="N135" s="87" t="str">
        <f t="shared" si="12"/>
        <v/>
      </c>
      <c r="O135" s="87" t="str">
        <f t="shared" si="13"/>
        <v/>
      </c>
      <c r="P135" s="87" t="str">
        <f t="shared" si="14"/>
        <v/>
      </c>
      <c r="Q135" s="87" t="str">
        <f t="shared" si="15"/>
        <v/>
      </c>
    </row>
    <row r="136" spans="13:17" ht="15.75" x14ac:dyDescent="0.25">
      <c r="M136" s="87" t="str">
        <f t="shared" si="11"/>
        <v/>
      </c>
      <c r="N136" s="87" t="str">
        <f t="shared" si="12"/>
        <v/>
      </c>
      <c r="O136" s="87" t="str">
        <f t="shared" si="13"/>
        <v/>
      </c>
      <c r="P136" s="87" t="str">
        <f t="shared" si="14"/>
        <v/>
      </c>
      <c r="Q136" s="87" t="str">
        <f t="shared" si="15"/>
        <v/>
      </c>
    </row>
    <row r="137" spans="13:17" ht="15.75" x14ac:dyDescent="0.25">
      <c r="M137" s="87" t="str">
        <f t="shared" si="11"/>
        <v/>
      </c>
      <c r="N137" s="87" t="str">
        <f t="shared" si="12"/>
        <v/>
      </c>
      <c r="O137" s="87" t="str">
        <f t="shared" si="13"/>
        <v/>
      </c>
      <c r="P137" s="87" t="str">
        <f t="shared" si="14"/>
        <v/>
      </c>
      <c r="Q137" s="87" t="str">
        <f t="shared" si="15"/>
        <v/>
      </c>
    </row>
    <row r="138" spans="13:17" ht="15.75" x14ac:dyDescent="0.25">
      <c r="M138" s="87" t="str">
        <f t="shared" si="11"/>
        <v/>
      </c>
      <c r="N138" s="87" t="str">
        <f t="shared" si="12"/>
        <v/>
      </c>
      <c r="O138" s="87" t="str">
        <f t="shared" si="13"/>
        <v/>
      </c>
      <c r="P138" s="87" t="str">
        <f t="shared" si="14"/>
        <v/>
      </c>
      <c r="Q138" s="87" t="str">
        <f t="shared" si="15"/>
        <v/>
      </c>
    </row>
    <row r="139" spans="13:17" ht="15.75" x14ac:dyDescent="0.25">
      <c r="M139" s="87" t="str">
        <f t="shared" si="11"/>
        <v/>
      </c>
      <c r="N139" s="87" t="str">
        <f t="shared" si="12"/>
        <v/>
      </c>
      <c r="O139" s="87" t="str">
        <f t="shared" si="13"/>
        <v/>
      </c>
      <c r="P139" s="87" t="str">
        <f t="shared" si="14"/>
        <v/>
      </c>
      <c r="Q139" s="87" t="str">
        <f t="shared" si="15"/>
        <v/>
      </c>
    </row>
    <row r="140" spans="13:17" ht="15.75" x14ac:dyDescent="0.25">
      <c r="M140" s="87" t="str">
        <f t="shared" si="11"/>
        <v/>
      </c>
      <c r="N140" s="87" t="str">
        <f t="shared" si="12"/>
        <v/>
      </c>
      <c r="O140" s="87" t="str">
        <f t="shared" si="13"/>
        <v/>
      </c>
      <c r="P140" s="87" t="str">
        <f t="shared" si="14"/>
        <v/>
      </c>
      <c r="Q140" s="87" t="str">
        <f t="shared" si="15"/>
        <v/>
      </c>
    </row>
    <row r="141" spans="13:17" ht="15.75" x14ac:dyDescent="0.25">
      <c r="M141" s="87" t="str">
        <f t="shared" si="11"/>
        <v/>
      </c>
      <c r="N141" s="87" t="str">
        <f t="shared" si="12"/>
        <v/>
      </c>
      <c r="O141" s="87" t="str">
        <f t="shared" si="13"/>
        <v/>
      </c>
      <c r="P141" s="87" t="str">
        <f t="shared" si="14"/>
        <v/>
      </c>
      <c r="Q141" s="87" t="str">
        <f t="shared" si="15"/>
        <v/>
      </c>
    </row>
    <row r="142" spans="13:17" ht="15.75" x14ac:dyDescent="0.25">
      <c r="M142" s="87" t="str">
        <f t="shared" si="11"/>
        <v/>
      </c>
      <c r="N142" s="87" t="str">
        <f t="shared" si="12"/>
        <v/>
      </c>
      <c r="O142" s="87" t="str">
        <f t="shared" si="13"/>
        <v/>
      </c>
      <c r="P142" s="87" t="str">
        <f t="shared" si="14"/>
        <v/>
      </c>
      <c r="Q142" s="87" t="str">
        <f t="shared" si="15"/>
        <v/>
      </c>
    </row>
    <row r="143" spans="13:17" ht="15.75" x14ac:dyDescent="0.25">
      <c r="M143" s="87" t="str">
        <f t="shared" si="11"/>
        <v/>
      </c>
      <c r="N143" s="87" t="str">
        <f t="shared" si="12"/>
        <v/>
      </c>
      <c r="O143" s="87" t="str">
        <f t="shared" si="13"/>
        <v/>
      </c>
      <c r="P143" s="87" t="str">
        <f t="shared" si="14"/>
        <v/>
      </c>
      <c r="Q143" s="87" t="str">
        <f t="shared" si="15"/>
        <v/>
      </c>
    </row>
    <row r="144" spans="13:17" ht="15.75" x14ac:dyDescent="0.25">
      <c r="M144" s="87" t="str">
        <f t="shared" si="11"/>
        <v/>
      </c>
      <c r="N144" s="87" t="str">
        <f t="shared" si="12"/>
        <v/>
      </c>
      <c r="O144" s="87" t="str">
        <f t="shared" si="13"/>
        <v/>
      </c>
      <c r="P144" s="87" t="str">
        <f t="shared" si="14"/>
        <v/>
      </c>
      <c r="Q144" s="87" t="str">
        <f t="shared" si="15"/>
        <v/>
      </c>
    </row>
    <row r="145" spans="13:17" ht="15.75" x14ac:dyDescent="0.25">
      <c r="M145" s="87" t="str">
        <f t="shared" si="11"/>
        <v/>
      </c>
      <c r="N145" s="87" t="str">
        <f t="shared" si="12"/>
        <v/>
      </c>
      <c r="O145" s="87" t="str">
        <f t="shared" si="13"/>
        <v/>
      </c>
      <c r="P145" s="87" t="str">
        <f t="shared" si="14"/>
        <v/>
      </c>
      <c r="Q145" s="87" t="str">
        <f t="shared" si="15"/>
        <v/>
      </c>
    </row>
    <row r="146" spans="13:17" ht="15.75" x14ac:dyDescent="0.25">
      <c r="M146" s="87" t="str">
        <f t="shared" si="11"/>
        <v/>
      </c>
      <c r="N146" s="87" t="str">
        <f t="shared" si="12"/>
        <v/>
      </c>
      <c r="O146" s="87" t="str">
        <f t="shared" si="13"/>
        <v/>
      </c>
      <c r="P146" s="87" t="str">
        <f t="shared" si="14"/>
        <v/>
      </c>
      <c r="Q146" s="87" t="str">
        <f t="shared" si="15"/>
        <v/>
      </c>
    </row>
    <row r="147" spans="13:17" ht="15.75" x14ac:dyDescent="0.25">
      <c r="M147" s="87" t="str">
        <f t="shared" si="11"/>
        <v/>
      </c>
      <c r="N147" s="87" t="str">
        <f t="shared" si="12"/>
        <v/>
      </c>
      <c r="O147" s="87" t="str">
        <f t="shared" si="13"/>
        <v/>
      </c>
      <c r="P147" s="87" t="str">
        <f t="shared" si="14"/>
        <v/>
      </c>
      <c r="Q147" s="87" t="str">
        <f t="shared" si="15"/>
        <v/>
      </c>
    </row>
    <row r="148" spans="13:17" ht="15.75" x14ac:dyDescent="0.25">
      <c r="M148" s="87" t="str">
        <f t="shared" si="11"/>
        <v/>
      </c>
      <c r="N148" s="87" t="str">
        <f t="shared" si="12"/>
        <v/>
      </c>
      <c r="O148" s="87" t="str">
        <f t="shared" si="13"/>
        <v/>
      </c>
      <c r="P148" s="87" t="str">
        <f t="shared" si="14"/>
        <v/>
      </c>
      <c r="Q148" s="87" t="str">
        <f t="shared" si="15"/>
        <v/>
      </c>
    </row>
    <row r="149" spans="13:17" ht="15.75" x14ac:dyDescent="0.25">
      <c r="M149" s="87" t="str">
        <f t="shared" si="11"/>
        <v/>
      </c>
      <c r="N149" s="87" t="str">
        <f t="shared" si="12"/>
        <v/>
      </c>
      <c r="O149" s="87" t="str">
        <f t="shared" si="13"/>
        <v/>
      </c>
      <c r="P149" s="87" t="str">
        <f t="shared" si="14"/>
        <v/>
      </c>
      <c r="Q149" s="87" t="str">
        <f t="shared" si="15"/>
        <v/>
      </c>
    </row>
    <row r="150" spans="13:17" ht="15.75" x14ac:dyDescent="0.25">
      <c r="M150" s="87" t="str">
        <f t="shared" si="11"/>
        <v/>
      </c>
      <c r="N150" s="87" t="str">
        <f t="shared" si="12"/>
        <v/>
      </c>
      <c r="O150" s="87" t="str">
        <f t="shared" si="13"/>
        <v/>
      </c>
      <c r="P150" s="87" t="str">
        <f t="shared" si="14"/>
        <v/>
      </c>
      <c r="Q150" s="87" t="str">
        <f t="shared" si="15"/>
        <v/>
      </c>
    </row>
    <row r="151" spans="13:17" ht="15.75" x14ac:dyDescent="0.25">
      <c r="M151" s="87" t="str">
        <f t="shared" si="11"/>
        <v/>
      </c>
      <c r="N151" s="87" t="str">
        <f t="shared" si="12"/>
        <v/>
      </c>
      <c r="O151" s="87" t="str">
        <f t="shared" si="13"/>
        <v/>
      </c>
      <c r="P151" s="87" t="str">
        <f t="shared" si="14"/>
        <v/>
      </c>
      <c r="Q151" s="87" t="str">
        <f t="shared" si="15"/>
        <v/>
      </c>
    </row>
    <row r="152" spans="13:17" ht="15.75" x14ac:dyDescent="0.25">
      <c r="M152" s="87" t="str">
        <f t="shared" si="11"/>
        <v/>
      </c>
      <c r="N152" s="87" t="str">
        <f t="shared" si="12"/>
        <v/>
      </c>
      <c r="O152" s="87" t="str">
        <f t="shared" si="13"/>
        <v/>
      </c>
      <c r="P152" s="87" t="str">
        <f t="shared" si="14"/>
        <v/>
      </c>
      <c r="Q152" s="87" t="str">
        <f t="shared" si="15"/>
        <v/>
      </c>
    </row>
    <row r="153" spans="13:17" ht="15.75" x14ac:dyDescent="0.25">
      <c r="M153" s="87" t="str">
        <f t="shared" si="11"/>
        <v/>
      </c>
      <c r="N153" s="87" t="str">
        <f t="shared" si="12"/>
        <v/>
      </c>
      <c r="O153" s="87" t="str">
        <f t="shared" si="13"/>
        <v/>
      </c>
      <c r="P153" s="87" t="str">
        <f t="shared" si="14"/>
        <v/>
      </c>
      <c r="Q153" s="87" t="str">
        <f t="shared" si="15"/>
        <v/>
      </c>
    </row>
    <row r="154" spans="13:17" ht="15.75" x14ac:dyDescent="0.25">
      <c r="M154" s="87" t="str">
        <f t="shared" si="11"/>
        <v/>
      </c>
      <c r="N154" s="87" t="str">
        <f t="shared" si="12"/>
        <v/>
      </c>
      <c r="O154" s="87" t="str">
        <f t="shared" si="13"/>
        <v/>
      </c>
      <c r="P154" s="87" t="str">
        <f t="shared" si="14"/>
        <v/>
      </c>
      <c r="Q154" s="87" t="str">
        <f t="shared" si="15"/>
        <v/>
      </c>
    </row>
    <row r="155" spans="13:17" ht="15.75" x14ac:dyDescent="0.25">
      <c r="M155" s="87" t="str">
        <f t="shared" si="11"/>
        <v/>
      </c>
      <c r="N155" s="87" t="str">
        <f t="shared" si="12"/>
        <v/>
      </c>
      <c r="O155" s="87" t="str">
        <f t="shared" si="13"/>
        <v/>
      </c>
      <c r="P155" s="87" t="str">
        <f t="shared" si="14"/>
        <v/>
      </c>
      <c r="Q155" s="87" t="str">
        <f t="shared" si="15"/>
        <v/>
      </c>
    </row>
    <row r="156" spans="13:17" ht="15.75" x14ac:dyDescent="0.25">
      <c r="M156" s="87" t="str">
        <f t="shared" si="11"/>
        <v/>
      </c>
      <c r="N156" s="87" t="str">
        <f t="shared" si="12"/>
        <v/>
      </c>
      <c r="O156" s="87" t="str">
        <f t="shared" si="13"/>
        <v/>
      </c>
      <c r="P156" s="87" t="str">
        <f t="shared" si="14"/>
        <v/>
      </c>
      <c r="Q156" s="87" t="str">
        <f t="shared" si="15"/>
        <v/>
      </c>
    </row>
    <row r="157" spans="13:17" ht="15.75" x14ac:dyDescent="0.25">
      <c r="M157" s="87" t="str">
        <f t="shared" si="11"/>
        <v/>
      </c>
      <c r="N157" s="87" t="str">
        <f t="shared" si="12"/>
        <v/>
      </c>
      <c r="O157" s="87" t="str">
        <f t="shared" si="13"/>
        <v/>
      </c>
      <c r="P157" s="87" t="str">
        <f t="shared" si="14"/>
        <v/>
      </c>
      <c r="Q157" s="87" t="str">
        <f t="shared" si="15"/>
        <v/>
      </c>
    </row>
    <row r="158" spans="13:17" ht="15.75" x14ac:dyDescent="0.25">
      <c r="M158" s="87" t="str">
        <f t="shared" si="11"/>
        <v/>
      </c>
      <c r="N158" s="87" t="str">
        <f t="shared" si="12"/>
        <v/>
      </c>
      <c r="O158" s="87" t="str">
        <f t="shared" si="13"/>
        <v/>
      </c>
      <c r="P158" s="87" t="str">
        <f t="shared" si="14"/>
        <v/>
      </c>
      <c r="Q158" s="87" t="str">
        <f t="shared" si="15"/>
        <v/>
      </c>
    </row>
    <row r="159" spans="13:17" ht="15.75" x14ac:dyDescent="0.25">
      <c r="M159" s="87" t="str">
        <f t="shared" si="11"/>
        <v/>
      </c>
      <c r="N159" s="87" t="str">
        <f t="shared" si="12"/>
        <v/>
      </c>
      <c r="O159" s="87" t="str">
        <f t="shared" si="13"/>
        <v/>
      </c>
      <c r="P159" s="87" t="str">
        <f t="shared" si="14"/>
        <v/>
      </c>
      <c r="Q159" s="87" t="str">
        <f t="shared" si="15"/>
        <v/>
      </c>
    </row>
    <row r="160" spans="13:17" ht="15.75" x14ac:dyDescent="0.25">
      <c r="M160" s="87" t="str">
        <f t="shared" si="11"/>
        <v/>
      </c>
      <c r="N160" s="87" t="str">
        <f t="shared" si="12"/>
        <v/>
      </c>
      <c r="O160" s="87" t="str">
        <f t="shared" si="13"/>
        <v/>
      </c>
      <c r="P160" s="87" t="str">
        <f t="shared" si="14"/>
        <v/>
      </c>
      <c r="Q160" s="87" t="str">
        <f t="shared" si="15"/>
        <v/>
      </c>
    </row>
    <row r="161" spans="13:17" ht="15.75" x14ac:dyDescent="0.25">
      <c r="M161" s="87" t="str">
        <f t="shared" si="11"/>
        <v/>
      </c>
      <c r="N161" s="87" t="str">
        <f t="shared" si="12"/>
        <v/>
      </c>
      <c r="O161" s="87" t="str">
        <f t="shared" si="13"/>
        <v/>
      </c>
      <c r="P161" s="87" t="str">
        <f t="shared" si="14"/>
        <v/>
      </c>
      <c r="Q161" s="87" t="str">
        <f t="shared" si="15"/>
        <v/>
      </c>
    </row>
  </sheetData>
  <sheetProtection selectLockedCells="1"/>
  <protectedRanges>
    <protectedRange algorithmName="SHA-512" hashValue="oPhNDG2HVwxkylhOjbK1hJvc9ZLF5hNJS4TXnEhPDmmVAs8zKeQtR7Wgqi0Lr8bcR/AABr2zaTuSWt/uD3wcAg==" saltValue="EICEO/3QDHD3mQuAUojBvQ==" spinCount="100000" sqref="A1:K500" name="Range1"/>
  </protectedRanges>
  <sortState xmlns:xlrd2="http://schemas.microsoft.com/office/spreadsheetml/2017/richdata2" ref="B4:F23">
    <sortCondition ref="D4:D23"/>
  </sortState>
  <mergeCells count="2">
    <mergeCell ref="G2:K2"/>
    <mergeCell ref="E1:J1"/>
  </mergeCells>
  <phoneticPr fontId="6" type="noConversion"/>
  <conditionalFormatting sqref="G4:K53">
    <cfRule type="containsText" dxfId="34" priority="6" operator="containsText" text="✓">
      <formula>NOT(ISERROR(SEARCH("✓",G4)))</formula>
    </cfRule>
  </conditionalFormatting>
  <conditionalFormatting sqref="M1:M1048576">
    <cfRule type="containsText" dxfId="33" priority="5" operator="containsText" text="█">
      <formula>NOT(ISERROR(SEARCH("█",M1)))</formula>
    </cfRule>
  </conditionalFormatting>
  <conditionalFormatting sqref="N1:N1048576">
    <cfRule type="containsText" dxfId="32" priority="4" operator="containsText" text="█">
      <formula>NOT(ISERROR(SEARCH("█",N1)))</formula>
    </cfRule>
  </conditionalFormatting>
  <conditionalFormatting sqref="O1:O1048576">
    <cfRule type="containsText" dxfId="31" priority="3" operator="containsText" text="█">
      <formula>NOT(ISERROR(SEARCH("█",O1)))</formula>
    </cfRule>
  </conditionalFormatting>
  <conditionalFormatting sqref="P1:P1048576">
    <cfRule type="containsText" dxfId="30" priority="2" operator="containsText" text="█">
      <formula>NOT(ISERROR(SEARCH("█",P1)))</formula>
    </cfRule>
  </conditionalFormatting>
  <conditionalFormatting sqref="Q1:Q1048576">
    <cfRule type="containsText" dxfId="29" priority="1" operator="containsText" text="█">
      <formula>NOT(ISERROR(SEARCH("█",Q1)))</formula>
    </cfRule>
  </conditionalFormatting>
  <dataValidations count="1">
    <dataValidation type="list" allowBlank="1" showInputMessage="1" sqref="E51 E52 E4 E5 E6 E7 E8 E9 E10 E11 E12 E13 E14 E15 E16 E17 E18 E19 E20 E21 E22 E23 E24 E25 E26 E27 E28 E29 E30 E31 E32 E33 E34 E35 E36 E37 E38 E39 E40 E41 E42 E43 E44 E45 E46 E47 E48 E49 E50 E53" xr:uid="{0BF900F8-0AD2-4B8B-8F96-A09E3B63E01D}">
      <formula1>Mylist</formula1>
    </dataValidation>
  </dataValidations>
  <hyperlinks>
    <hyperlink ref="G2:K2" r:id="rId1" display="EYLF Outcome[Link]" xr:uid="{3EDB2A57-8166-4947-B926-3EA87D3F18A5}"/>
  </hyperlinks>
  <pageMargins left="0.7" right="0.7" top="0.75" bottom="0.75" header="0.3" footer="0.3"/>
  <pageSetup orientation="portrait"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F59D-4A70-4A61-A56A-C1E8CF7A3CC4}">
  <sheetPr codeName="Sheet5"/>
  <dimension ref="A2:O40"/>
  <sheetViews>
    <sheetView tabSelected="1" zoomScale="80" zoomScaleNormal="80" workbookViewId="0">
      <pane ySplit="5" topLeftCell="A6" activePane="bottomLeft" state="frozen"/>
      <selection pane="bottomLeft" activeCell="C9" sqref="C9"/>
    </sheetView>
  </sheetViews>
  <sheetFormatPr defaultColWidth="9.28515625" defaultRowHeight="15" x14ac:dyDescent="0.25"/>
  <cols>
    <col min="1" max="1" width="10.85546875" style="20" customWidth="1"/>
    <col min="2" max="2" width="26.140625" style="20" bestFit="1" customWidth="1"/>
    <col min="3" max="14" width="18.7109375" style="20" customWidth="1"/>
    <col min="15" max="15" width="10.42578125" style="17" bestFit="1" customWidth="1"/>
    <col min="16" max="16384" width="9.28515625" style="20"/>
  </cols>
  <sheetData>
    <row r="2" spans="1:15" ht="28.5" x14ac:dyDescent="0.45">
      <c r="C2" s="109" t="s">
        <v>67</v>
      </c>
      <c r="D2" s="109"/>
      <c r="E2" s="109"/>
      <c r="F2" s="109"/>
      <c r="G2" s="109"/>
      <c r="H2" s="109"/>
      <c r="I2" s="109"/>
      <c r="J2" s="109"/>
      <c r="K2" s="109"/>
      <c r="L2" s="109"/>
      <c r="M2" s="109"/>
      <c r="N2" s="109"/>
      <c r="O2" s="109"/>
    </row>
    <row r="3" spans="1:15" ht="15.75" thickBot="1" x14ac:dyDescent="0.3"/>
    <row r="4" spans="1:15" ht="24.75" customHeight="1" thickBot="1" x14ac:dyDescent="0.45">
      <c r="A4" s="107" t="s">
        <v>50</v>
      </c>
      <c r="B4" s="108"/>
      <c r="C4" s="106" t="s">
        <v>54</v>
      </c>
      <c r="D4" s="106"/>
      <c r="E4" s="106"/>
      <c r="F4" s="106"/>
      <c r="G4" s="106"/>
      <c r="H4" s="106"/>
      <c r="I4" s="106"/>
      <c r="J4" s="106"/>
      <c r="K4" s="106"/>
      <c r="L4" s="106"/>
      <c r="M4" s="106"/>
      <c r="N4" s="106"/>
      <c r="O4" s="23"/>
    </row>
    <row r="5" spans="1:15" s="53" customFormat="1" ht="29.1" customHeight="1" x14ac:dyDescent="0.6">
      <c r="A5" s="55" t="s">
        <v>26</v>
      </c>
      <c r="B5" s="55" t="s">
        <v>72</v>
      </c>
      <c r="C5" s="56" t="s">
        <v>55</v>
      </c>
      <c r="D5" s="56" t="s">
        <v>56</v>
      </c>
      <c r="E5" s="56" t="s">
        <v>57</v>
      </c>
      <c r="F5" s="56" t="s">
        <v>58</v>
      </c>
      <c r="G5" s="56" t="s">
        <v>59</v>
      </c>
      <c r="H5" s="56" t="s">
        <v>60</v>
      </c>
      <c r="I5" s="56" t="s">
        <v>61</v>
      </c>
      <c r="J5" s="56" t="s">
        <v>62</v>
      </c>
      <c r="K5" s="56" t="s">
        <v>63</v>
      </c>
      <c r="L5" s="56" t="s">
        <v>64</v>
      </c>
      <c r="M5" s="56" t="s">
        <v>65</v>
      </c>
      <c r="N5" s="56" t="s">
        <v>66</v>
      </c>
      <c r="O5" s="83" t="s">
        <v>53</v>
      </c>
    </row>
    <row r="6" spans="1:15" ht="29.1" customHeight="1" x14ac:dyDescent="0.3">
      <c r="A6" s="57">
        <f>SUBTOTAL(3, $B$3:B5)</f>
        <v>1</v>
      </c>
      <c r="B6" s="57" t="s">
        <v>51</v>
      </c>
      <c r="C6" s="58"/>
      <c r="D6" s="58" t="s">
        <v>25</v>
      </c>
      <c r="E6" s="58"/>
      <c r="F6" s="58"/>
      <c r="G6" s="58"/>
      <c r="H6" s="58"/>
      <c r="I6" s="58" t="s">
        <v>25</v>
      </c>
      <c r="J6" s="58"/>
      <c r="K6" s="58"/>
      <c r="L6" s="58"/>
      <c r="M6" s="58"/>
      <c r="N6" s="58" t="s">
        <v>25</v>
      </c>
      <c r="O6" s="110">
        <f>IF(COUNTIF(Observation[[#This Row],[JAN]]:Observation[[#This Row],[DEC]],"✓")&gt;0, COUNTIF(Observation[[#This Row],[JAN]]:Observation[[#This Row],[DEC]],"✓"), "")</f>
        <v>3</v>
      </c>
    </row>
    <row r="7" spans="1:15" ht="29.1" customHeight="1" x14ac:dyDescent="0.3">
      <c r="A7" s="57">
        <f>SUBTOTAL(3, $B$3:B6)</f>
        <v>2</v>
      </c>
      <c r="B7" s="57" t="s">
        <v>51</v>
      </c>
      <c r="C7" s="58"/>
      <c r="D7" s="58"/>
      <c r="E7" s="58" t="s">
        <v>25</v>
      </c>
      <c r="F7" s="59"/>
      <c r="G7" s="58"/>
      <c r="H7" s="58" t="s">
        <v>25</v>
      </c>
      <c r="I7" s="58" t="s">
        <v>25</v>
      </c>
      <c r="J7" s="58"/>
      <c r="K7" s="58" t="s">
        <v>25</v>
      </c>
      <c r="L7" s="58" t="s">
        <v>25</v>
      </c>
      <c r="M7" s="58" t="s">
        <v>25</v>
      </c>
      <c r="N7" s="58"/>
      <c r="O7" s="110">
        <f>IF(COUNTIF(Observation[[#This Row],[JAN]]:Observation[[#This Row],[DEC]],"✓")&gt;0, COUNTIF(Observation[[#This Row],[JAN]]:Observation[[#This Row],[DEC]],"✓"), "")</f>
        <v>6</v>
      </c>
    </row>
    <row r="8" spans="1:15" ht="29.1" customHeight="1" x14ac:dyDescent="0.3">
      <c r="A8" s="57">
        <f>SUBTOTAL(3, $B$3:B7)</f>
        <v>3</v>
      </c>
      <c r="B8" s="57" t="s">
        <v>51</v>
      </c>
      <c r="C8" s="58" t="s">
        <v>25</v>
      </c>
      <c r="D8" s="58" t="s">
        <v>25</v>
      </c>
      <c r="E8" s="58" t="s">
        <v>25</v>
      </c>
      <c r="F8" s="58" t="s">
        <v>25</v>
      </c>
      <c r="G8" s="58" t="s">
        <v>25</v>
      </c>
      <c r="H8" s="58" t="s">
        <v>25</v>
      </c>
      <c r="I8" s="58"/>
      <c r="J8" s="58" t="s">
        <v>25</v>
      </c>
      <c r="K8" s="58" t="s">
        <v>25</v>
      </c>
      <c r="L8" s="58" t="s">
        <v>25</v>
      </c>
      <c r="M8" s="58"/>
      <c r="N8" s="58"/>
      <c r="O8" s="110">
        <f>IF(COUNTIF(Observation[[#This Row],[JAN]]:Observation[[#This Row],[DEC]],"✓")&gt;0, COUNTIF(Observation[[#This Row],[JAN]]:Observation[[#This Row],[DEC]],"✓"), "")</f>
        <v>9</v>
      </c>
    </row>
    <row r="9" spans="1:15" ht="29.1" customHeight="1" x14ac:dyDescent="0.3">
      <c r="A9" s="57">
        <f>SUBTOTAL(3, $B$3:B8)</f>
        <v>4</v>
      </c>
      <c r="B9" s="57" t="s">
        <v>51</v>
      </c>
      <c r="C9" s="58"/>
      <c r="D9" s="58" t="s">
        <v>25</v>
      </c>
      <c r="E9" s="58" t="s">
        <v>25</v>
      </c>
      <c r="F9" s="58" t="s">
        <v>25</v>
      </c>
      <c r="G9" s="58" t="s">
        <v>25</v>
      </c>
      <c r="H9" s="58" t="s">
        <v>25</v>
      </c>
      <c r="I9" s="58" t="s">
        <v>25</v>
      </c>
      <c r="J9" s="58" t="s">
        <v>25</v>
      </c>
      <c r="K9" s="58" t="s">
        <v>25</v>
      </c>
      <c r="L9" s="58" t="s">
        <v>25</v>
      </c>
      <c r="M9" s="58" t="s">
        <v>25</v>
      </c>
      <c r="N9" s="58" t="s">
        <v>25</v>
      </c>
      <c r="O9" s="110">
        <f>IF(COUNTIF(Observation[[#This Row],[JAN]]:Observation[[#This Row],[DEC]],"✓")&gt;0, COUNTIF(Observation[[#This Row],[JAN]]:Observation[[#This Row],[DEC]],"✓"), "")</f>
        <v>11</v>
      </c>
    </row>
    <row r="10" spans="1:15" ht="29.1" customHeight="1" x14ac:dyDescent="0.3">
      <c r="A10" s="57">
        <f>SUBTOTAL(3, $B$3:B9)</f>
        <v>5</v>
      </c>
      <c r="B10" s="57" t="s">
        <v>51</v>
      </c>
      <c r="C10" s="58"/>
      <c r="D10" s="59"/>
      <c r="E10" s="59"/>
      <c r="F10" s="59"/>
      <c r="G10" s="59"/>
      <c r="H10" s="59"/>
      <c r="I10" s="59"/>
      <c r="J10" s="58"/>
      <c r="K10" s="59"/>
      <c r="L10" s="59"/>
      <c r="M10" s="59"/>
      <c r="N10" s="59"/>
      <c r="O10" s="110" t="str">
        <f>IF(COUNTIF(Observation[[#This Row],[JAN]]:Observation[[#This Row],[DEC]],"✓")&gt;0, COUNTIF(Observation[[#This Row],[JAN]]:Observation[[#This Row],[DEC]],"✓"), "")</f>
        <v/>
      </c>
    </row>
    <row r="11" spans="1:15" ht="29.1" customHeight="1" x14ac:dyDescent="0.3">
      <c r="A11" s="57">
        <f>SUBTOTAL(3, $B$3:B10)</f>
        <v>6</v>
      </c>
      <c r="B11" s="57" t="s">
        <v>51</v>
      </c>
      <c r="C11" s="58"/>
      <c r="D11" s="59"/>
      <c r="E11" s="59"/>
      <c r="F11" s="59"/>
      <c r="G11" s="58"/>
      <c r="H11" s="59"/>
      <c r="I11" s="59"/>
      <c r="J11" s="59"/>
      <c r="K11" s="59"/>
      <c r="L11" s="59"/>
      <c r="M11" s="59"/>
      <c r="N11" s="59"/>
      <c r="O11" s="110" t="str">
        <f>IF(COUNTIF(Observation[[#This Row],[JAN]]:Observation[[#This Row],[DEC]],"✓")&gt;0, COUNTIF(Observation[[#This Row],[JAN]]:Observation[[#This Row],[DEC]],"✓"), "")</f>
        <v/>
      </c>
    </row>
    <row r="12" spans="1:15" ht="29.1" customHeight="1" x14ac:dyDescent="0.3">
      <c r="A12" s="57">
        <f>SUBTOTAL(3, $B$3:B11)</f>
        <v>7</v>
      </c>
      <c r="B12" s="57" t="s">
        <v>51</v>
      </c>
      <c r="C12" s="58"/>
      <c r="D12" s="59"/>
      <c r="E12" s="59"/>
      <c r="F12" s="59"/>
      <c r="G12" s="59"/>
      <c r="H12" s="59"/>
      <c r="I12" s="59"/>
      <c r="J12" s="59"/>
      <c r="K12" s="59"/>
      <c r="L12" s="59"/>
      <c r="M12" s="59"/>
      <c r="N12" s="59"/>
      <c r="O12" s="110" t="str">
        <f>IF(COUNTIF(Observation[[#This Row],[JAN]]:Observation[[#This Row],[DEC]],"✓")&gt;0, COUNTIF(Observation[[#This Row],[JAN]]:Observation[[#This Row],[DEC]],"✓"), "")</f>
        <v/>
      </c>
    </row>
    <row r="13" spans="1:15" ht="29.1" customHeight="1" x14ac:dyDescent="0.3">
      <c r="A13" s="57">
        <f>SUBTOTAL(3, $B$3:B12)</f>
        <v>8</v>
      </c>
      <c r="B13" s="57" t="s">
        <v>51</v>
      </c>
      <c r="C13" s="58"/>
      <c r="D13" s="59"/>
      <c r="E13" s="59"/>
      <c r="F13" s="59"/>
      <c r="G13" s="59"/>
      <c r="H13" s="59"/>
      <c r="I13" s="59"/>
      <c r="J13" s="59"/>
      <c r="K13" s="59"/>
      <c r="L13" s="59"/>
      <c r="M13" s="59"/>
      <c r="N13" s="59"/>
      <c r="O13" s="110" t="str">
        <f>IF(COUNTIF(Observation[[#This Row],[JAN]]:Observation[[#This Row],[DEC]],"✓")&gt;0, COUNTIF(Observation[[#This Row],[JAN]]:Observation[[#This Row],[DEC]],"✓"), "")</f>
        <v/>
      </c>
    </row>
    <row r="14" spans="1:15" ht="29.1" customHeight="1" x14ac:dyDescent="0.3">
      <c r="A14" s="57">
        <f>SUBTOTAL(3, $B$3:B13)</f>
        <v>9</v>
      </c>
      <c r="B14" s="57" t="s">
        <v>51</v>
      </c>
      <c r="C14" s="58"/>
      <c r="D14" s="59"/>
      <c r="E14" s="59"/>
      <c r="F14" s="59"/>
      <c r="G14" s="59"/>
      <c r="H14" s="59"/>
      <c r="I14" s="59"/>
      <c r="J14" s="59"/>
      <c r="K14" s="59"/>
      <c r="L14" s="59"/>
      <c r="M14" s="59"/>
      <c r="N14" s="59"/>
      <c r="O14" s="110" t="str">
        <f>IF(COUNTIF(Observation[[#This Row],[JAN]]:Observation[[#This Row],[DEC]],"✓")&gt;0, COUNTIF(Observation[[#This Row],[JAN]]:Observation[[#This Row],[DEC]],"✓"), "")</f>
        <v/>
      </c>
    </row>
    <row r="15" spans="1:15" ht="29.1" customHeight="1" x14ac:dyDescent="0.3">
      <c r="A15" s="57">
        <f>SUBTOTAL(3, $B$3:B14)</f>
        <v>10</v>
      </c>
      <c r="B15" s="57" t="s">
        <v>51</v>
      </c>
      <c r="C15" s="58"/>
      <c r="D15" s="59"/>
      <c r="E15" s="59"/>
      <c r="F15" s="59"/>
      <c r="G15" s="59"/>
      <c r="H15" s="59"/>
      <c r="I15" s="59"/>
      <c r="J15" s="59"/>
      <c r="K15" s="59"/>
      <c r="L15" s="59"/>
      <c r="M15" s="59"/>
      <c r="N15" s="59"/>
      <c r="O15" s="110" t="str">
        <f>IF(COUNTIF(Observation[[#This Row],[JAN]]:Observation[[#This Row],[DEC]],"✓")&gt;0, COUNTIF(Observation[[#This Row],[JAN]]:Observation[[#This Row],[DEC]],"✓"), "")</f>
        <v/>
      </c>
    </row>
    <row r="16" spans="1:15" ht="29.1" customHeight="1" x14ac:dyDescent="0.3">
      <c r="A16" s="57">
        <f>SUBTOTAL(3, $B$3:B15)</f>
        <v>11</v>
      </c>
      <c r="B16" s="57" t="s">
        <v>51</v>
      </c>
      <c r="C16" s="58"/>
      <c r="D16" s="59"/>
      <c r="E16" s="59"/>
      <c r="F16" s="59"/>
      <c r="G16" s="59"/>
      <c r="H16" s="59"/>
      <c r="I16" s="59"/>
      <c r="J16" s="59"/>
      <c r="K16" s="59"/>
      <c r="L16" s="59"/>
      <c r="M16" s="59"/>
      <c r="N16" s="59"/>
      <c r="O16" s="110" t="str">
        <f>IF(COUNTIF(Observation[[#This Row],[JAN]]:Observation[[#This Row],[DEC]],"✓")&gt;0, COUNTIF(Observation[[#This Row],[JAN]]:Observation[[#This Row],[DEC]],"✓"), "")</f>
        <v/>
      </c>
    </row>
    <row r="17" spans="1:15" ht="29.1" customHeight="1" x14ac:dyDescent="0.3">
      <c r="A17" s="57">
        <f>SUBTOTAL(3, $B$3:B16)</f>
        <v>12</v>
      </c>
      <c r="B17" s="57" t="s">
        <v>51</v>
      </c>
      <c r="C17" s="59"/>
      <c r="D17" s="59"/>
      <c r="E17" s="59"/>
      <c r="F17" s="59"/>
      <c r="G17" s="59"/>
      <c r="H17" s="59"/>
      <c r="I17" s="59"/>
      <c r="J17" s="59"/>
      <c r="K17" s="59"/>
      <c r="L17" s="59"/>
      <c r="M17" s="59"/>
      <c r="N17" s="59"/>
      <c r="O17" s="110" t="str">
        <f>IF(COUNTIF(Observation[[#This Row],[JAN]]:Observation[[#This Row],[DEC]],"✓")&gt;0, COUNTIF(Observation[[#This Row],[JAN]]:Observation[[#This Row],[DEC]],"✓"), "")</f>
        <v/>
      </c>
    </row>
    <row r="18" spans="1:15" ht="29.1" customHeight="1" x14ac:dyDescent="0.3">
      <c r="A18" s="57">
        <f>SUBTOTAL(3, $B$3:B17)</f>
        <v>13</v>
      </c>
      <c r="B18" s="57" t="s">
        <v>51</v>
      </c>
      <c r="C18" s="59"/>
      <c r="D18" s="59"/>
      <c r="E18" s="59"/>
      <c r="F18" s="59"/>
      <c r="G18" s="59"/>
      <c r="H18" s="59"/>
      <c r="I18" s="59"/>
      <c r="J18" s="59"/>
      <c r="K18" s="59"/>
      <c r="L18" s="59"/>
      <c r="M18" s="59"/>
      <c r="N18" s="59"/>
      <c r="O18" s="110" t="str">
        <f>IF(COUNTIF(Observation[[#This Row],[JAN]]:Observation[[#This Row],[DEC]],"✓")&gt;0, COUNTIF(Observation[[#This Row],[JAN]]:Observation[[#This Row],[DEC]],"✓"), "")</f>
        <v/>
      </c>
    </row>
    <row r="19" spans="1:15" ht="29.1" customHeight="1" x14ac:dyDescent="0.3">
      <c r="A19" s="57">
        <f>SUBTOTAL(3, $B$3:B18)</f>
        <v>14</v>
      </c>
      <c r="B19" s="57" t="s">
        <v>51</v>
      </c>
      <c r="C19" s="58"/>
      <c r="D19" s="59"/>
      <c r="E19" s="59"/>
      <c r="F19" s="59"/>
      <c r="G19" s="59"/>
      <c r="H19" s="59"/>
      <c r="I19" s="59"/>
      <c r="J19" s="59"/>
      <c r="K19" s="59"/>
      <c r="L19" s="59"/>
      <c r="M19" s="59"/>
      <c r="N19" s="59"/>
      <c r="O19" s="110" t="str">
        <f>IF(COUNTIF(Observation[[#This Row],[JAN]]:Observation[[#This Row],[DEC]],"✓")&gt;0, COUNTIF(Observation[[#This Row],[JAN]]:Observation[[#This Row],[DEC]],"✓"), "")</f>
        <v/>
      </c>
    </row>
    <row r="20" spans="1:15" ht="29.1" customHeight="1" x14ac:dyDescent="0.3">
      <c r="A20" s="57">
        <f>SUBTOTAL(3, $B$3:B19)</f>
        <v>15</v>
      </c>
      <c r="B20" s="57" t="s">
        <v>51</v>
      </c>
      <c r="C20" s="58"/>
      <c r="D20" s="59"/>
      <c r="E20" s="59"/>
      <c r="F20" s="59"/>
      <c r="G20" s="59"/>
      <c r="H20" s="59"/>
      <c r="I20" s="59"/>
      <c r="J20" s="59"/>
      <c r="K20" s="59"/>
      <c r="L20" s="59"/>
      <c r="M20" s="59"/>
      <c r="N20" s="59"/>
      <c r="O20" s="110" t="str">
        <f>IF(COUNTIF(Observation[[#This Row],[JAN]]:Observation[[#This Row],[DEC]],"✓")&gt;0, COUNTIF(Observation[[#This Row],[JAN]]:Observation[[#This Row],[DEC]],"✓"), "")</f>
        <v/>
      </c>
    </row>
    <row r="21" spans="1:15" ht="29.1" customHeight="1" x14ac:dyDescent="0.3">
      <c r="A21" s="57">
        <f>SUBTOTAL(3, $B$3:B20)</f>
        <v>16</v>
      </c>
      <c r="B21" s="57" t="s">
        <v>51</v>
      </c>
      <c r="C21" s="59"/>
      <c r="D21" s="59"/>
      <c r="E21" s="59"/>
      <c r="F21" s="59"/>
      <c r="G21" s="59"/>
      <c r="H21" s="59"/>
      <c r="I21" s="59"/>
      <c r="J21" s="59"/>
      <c r="K21" s="59"/>
      <c r="L21" s="59"/>
      <c r="M21" s="59"/>
      <c r="N21" s="59"/>
      <c r="O21" s="110" t="str">
        <f>IF(COUNTIF(Observation[[#This Row],[JAN]]:Observation[[#This Row],[DEC]],"✓")&gt;0, COUNTIF(Observation[[#This Row],[JAN]]:Observation[[#This Row],[DEC]],"✓"), "")</f>
        <v/>
      </c>
    </row>
    <row r="22" spans="1:15" ht="29.1" customHeight="1" x14ac:dyDescent="0.3">
      <c r="A22" s="57">
        <f>SUBTOTAL(3, $B$3:B21)</f>
        <v>17</v>
      </c>
      <c r="B22" s="57" t="s">
        <v>51</v>
      </c>
      <c r="C22" s="58"/>
      <c r="D22" s="59"/>
      <c r="E22" s="59"/>
      <c r="F22" s="59"/>
      <c r="G22" s="59"/>
      <c r="H22" s="59"/>
      <c r="I22" s="59"/>
      <c r="J22" s="59"/>
      <c r="K22" s="59"/>
      <c r="L22" s="59"/>
      <c r="M22" s="59"/>
      <c r="N22" s="59"/>
      <c r="O22" s="110" t="str">
        <f>IF(COUNTIF(Observation[[#This Row],[JAN]]:Observation[[#This Row],[DEC]],"✓")&gt;0, COUNTIF(Observation[[#This Row],[JAN]]:Observation[[#This Row],[DEC]],"✓"), "")</f>
        <v/>
      </c>
    </row>
    <row r="23" spans="1:15" ht="29.1" customHeight="1" x14ac:dyDescent="0.3">
      <c r="A23" s="57">
        <f>SUBTOTAL(3, $B$3:B22)</f>
        <v>18</v>
      </c>
      <c r="B23" s="57" t="s">
        <v>51</v>
      </c>
      <c r="C23" s="59"/>
      <c r="D23" s="59"/>
      <c r="E23" s="59"/>
      <c r="F23" s="59"/>
      <c r="G23" s="59"/>
      <c r="H23" s="58"/>
      <c r="I23" s="59"/>
      <c r="J23" s="59"/>
      <c r="K23" s="59"/>
      <c r="L23" s="59"/>
      <c r="M23" s="59"/>
      <c r="N23" s="59"/>
      <c r="O23" s="110" t="str">
        <f>IF(COUNTIF(Observation[[#This Row],[JAN]]:Observation[[#This Row],[DEC]],"✓")&gt;0, COUNTIF(Observation[[#This Row],[JAN]]:Observation[[#This Row],[DEC]],"✓"), "")</f>
        <v/>
      </c>
    </row>
    <row r="24" spans="1:15" ht="29.1" customHeight="1" x14ac:dyDescent="0.3">
      <c r="A24" s="57">
        <f>SUBTOTAL(3, $B$3:B23)</f>
        <v>19</v>
      </c>
      <c r="B24" s="57" t="s">
        <v>51</v>
      </c>
      <c r="C24" s="58"/>
      <c r="D24" s="59"/>
      <c r="E24" s="59"/>
      <c r="F24" s="59"/>
      <c r="G24" s="59"/>
      <c r="H24" s="59"/>
      <c r="I24" s="59"/>
      <c r="J24" s="59"/>
      <c r="K24" s="59"/>
      <c r="L24" s="59"/>
      <c r="M24" s="58"/>
      <c r="N24" s="58"/>
      <c r="O24" s="110" t="str">
        <f>IF(COUNTIF(Observation[[#This Row],[JAN]]:Observation[[#This Row],[DEC]],"✓")&gt;0, COUNTIF(Observation[[#This Row],[JAN]]:Observation[[#This Row],[DEC]],"✓"), "")</f>
        <v/>
      </c>
    </row>
    <row r="25" spans="1:15" ht="29.1" customHeight="1" x14ac:dyDescent="0.3">
      <c r="A25" s="57">
        <f>SUBTOTAL(3, $B$3:B24)</f>
        <v>20</v>
      </c>
      <c r="B25" s="57" t="s">
        <v>51</v>
      </c>
      <c r="C25" s="59"/>
      <c r="D25" s="59"/>
      <c r="E25" s="59"/>
      <c r="F25" s="59"/>
      <c r="G25" s="59"/>
      <c r="H25" s="59"/>
      <c r="I25" s="59"/>
      <c r="J25" s="59"/>
      <c r="K25" s="59"/>
      <c r="L25" s="59"/>
      <c r="M25" s="59"/>
      <c r="N25" s="58"/>
      <c r="O25" s="110" t="str">
        <f>IF(COUNTIF(Observation[[#This Row],[JAN]]:Observation[[#This Row],[DEC]],"✓")&gt;0, COUNTIF(Observation[[#This Row],[JAN]]:Observation[[#This Row],[DEC]],"✓"), "")</f>
        <v/>
      </c>
    </row>
    <row r="26" spans="1:15" ht="29.1" customHeight="1" x14ac:dyDescent="0.3">
      <c r="A26" s="57">
        <f>SUBTOTAL(3, $B$3:B25)</f>
        <v>21</v>
      </c>
      <c r="B26" s="57" t="s">
        <v>51</v>
      </c>
      <c r="C26" s="59"/>
      <c r="D26" s="59"/>
      <c r="E26" s="59"/>
      <c r="F26" s="59"/>
      <c r="G26" s="59"/>
      <c r="H26" s="59"/>
      <c r="I26" s="59"/>
      <c r="J26" s="59"/>
      <c r="K26" s="59"/>
      <c r="L26" s="59"/>
      <c r="M26" s="59"/>
      <c r="N26" s="59"/>
      <c r="O26" s="111" t="str">
        <f>IF(COUNTIF(Observation[[#This Row],[JAN]]:Observation[[#This Row],[DEC]],"✓")&gt;0, COUNTIF(Observation[[#This Row],[JAN]]:Observation[[#This Row],[DEC]],"✓"), "")</f>
        <v/>
      </c>
    </row>
    <row r="27" spans="1:15" ht="29.1" customHeight="1" x14ac:dyDescent="0.3">
      <c r="A27" s="57">
        <f>SUBTOTAL(3, $B$3:B26)</f>
        <v>22</v>
      </c>
      <c r="B27" s="57" t="s">
        <v>51</v>
      </c>
      <c r="C27" s="59"/>
      <c r="D27" s="59"/>
      <c r="E27" s="59"/>
      <c r="F27" s="59"/>
      <c r="G27" s="59"/>
      <c r="H27" s="59"/>
      <c r="I27" s="59"/>
      <c r="J27" s="59"/>
      <c r="K27" s="59"/>
      <c r="L27" s="59"/>
      <c r="M27" s="59"/>
      <c r="N27" s="59"/>
      <c r="O27" s="111" t="str">
        <f>IF(COUNTIF(Observation[[#This Row],[JAN]]:Observation[[#This Row],[DEC]],"✓")&gt;0, COUNTIF(Observation[[#This Row],[JAN]]:Observation[[#This Row],[DEC]],"✓"), "")</f>
        <v/>
      </c>
    </row>
    <row r="28" spans="1:15" ht="29.1" customHeight="1" x14ac:dyDescent="0.3">
      <c r="A28" s="57">
        <f>SUBTOTAL(3, $B$3:B27)</f>
        <v>23</v>
      </c>
      <c r="B28" s="57" t="s">
        <v>51</v>
      </c>
      <c r="C28" s="59"/>
      <c r="D28" s="59"/>
      <c r="E28" s="59"/>
      <c r="F28" s="59"/>
      <c r="G28" s="59"/>
      <c r="H28" s="59"/>
      <c r="I28" s="59"/>
      <c r="J28" s="59"/>
      <c r="K28" s="59"/>
      <c r="L28" s="59"/>
      <c r="M28" s="59"/>
      <c r="N28" s="59"/>
      <c r="O28" s="111" t="str">
        <f>IF(COUNTIF(Observation[[#This Row],[JAN]]:Observation[[#This Row],[DEC]],"✓")&gt;0, COUNTIF(Observation[[#This Row],[JAN]]:Observation[[#This Row],[DEC]],"✓"), "")</f>
        <v/>
      </c>
    </row>
    <row r="29" spans="1:15" ht="29.1" customHeight="1" x14ac:dyDescent="0.3">
      <c r="A29" s="57">
        <f>SUBTOTAL(3, $B$3:B28)</f>
        <v>24</v>
      </c>
      <c r="B29" s="57" t="s">
        <v>51</v>
      </c>
      <c r="C29" s="59"/>
      <c r="D29" s="59"/>
      <c r="E29" s="59"/>
      <c r="F29" s="59"/>
      <c r="G29" s="59"/>
      <c r="H29" s="59"/>
      <c r="I29" s="59"/>
      <c r="J29" s="59"/>
      <c r="K29" s="59"/>
      <c r="L29" s="59"/>
      <c r="M29" s="59"/>
      <c r="N29" s="59"/>
      <c r="O29" s="111" t="str">
        <f>IF(COUNTIF(Observation[[#This Row],[JAN]]:Observation[[#This Row],[DEC]],"✓")&gt;0, COUNTIF(Observation[[#This Row],[JAN]]:Observation[[#This Row],[DEC]],"✓"), "")</f>
        <v/>
      </c>
    </row>
    <row r="30" spans="1:15" ht="29.1" customHeight="1" x14ac:dyDescent="0.3">
      <c r="A30" s="57">
        <f>SUBTOTAL(3, $B$3:B29)</f>
        <v>25</v>
      </c>
      <c r="B30" s="57" t="s">
        <v>51</v>
      </c>
      <c r="C30" s="60"/>
      <c r="D30" s="60"/>
      <c r="E30" s="60"/>
      <c r="F30" s="60"/>
      <c r="G30" s="60"/>
      <c r="H30" s="60"/>
      <c r="I30" s="60"/>
      <c r="J30" s="60"/>
      <c r="K30" s="60"/>
      <c r="L30" s="60"/>
      <c r="M30" s="60"/>
      <c r="N30" s="59"/>
      <c r="O30" s="111" t="str">
        <f>IF(COUNTIF(Observation[[#This Row],[JAN]]:Observation[[#This Row],[DEC]],"✓")&gt;0, COUNTIF(Observation[[#This Row],[JAN]]:Observation[[#This Row],[DEC]],"✓"), "")</f>
        <v/>
      </c>
    </row>
    <row r="31" spans="1:15" ht="29.1" customHeight="1" x14ac:dyDescent="0.3">
      <c r="A31" s="57">
        <f>SUBTOTAL(3, $B$3:B30)</f>
        <v>26</v>
      </c>
      <c r="B31" s="57" t="s">
        <v>51</v>
      </c>
      <c r="C31" s="60"/>
      <c r="D31" s="60"/>
      <c r="E31" s="60"/>
      <c r="F31" s="60"/>
      <c r="G31" s="60"/>
      <c r="H31" s="60"/>
      <c r="I31" s="60"/>
      <c r="J31" s="60"/>
      <c r="K31" s="60"/>
      <c r="L31" s="60"/>
      <c r="M31" s="60"/>
      <c r="N31" s="59"/>
      <c r="O31" s="111" t="str">
        <f>IF(COUNTIF(Observation[[#This Row],[JAN]]:Observation[[#This Row],[DEC]],"✓")&gt;0, COUNTIF(Observation[[#This Row],[JAN]]:Observation[[#This Row],[DEC]],"✓"), "")</f>
        <v/>
      </c>
    </row>
    <row r="32" spans="1:15" ht="29.1" customHeight="1" x14ac:dyDescent="0.3">
      <c r="A32" s="57">
        <f>SUBTOTAL(3, $B$3:B31)</f>
        <v>27</v>
      </c>
      <c r="B32" s="57" t="s">
        <v>51</v>
      </c>
      <c r="C32" s="60"/>
      <c r="D32" s="60"/>
      <c r="E32" s="60"/>
      <c r="F32" s="60"/>
      <c r="G32" s="60"/>
      <c r="H32" s="60"/>
      <c r="I32" s="60"/>
      <c r="J32" s="60"/>
      <c r="K32" s="60"/>
      <c r="L32" s="60"/>
      <c r="M32" s="60"/>
      <c r="N32" s="59"/>
      <c r="O32" s="111" t="str">
        <f>IF(COUNTIF(Observation[[#This Row],[JAN]]:Observation[[#This Row],[DEC]],"✓")&gt;0, COUNTIF(Observation[[#This Row],[JAN]]:Observation[[#This Row],[DEC]],"✓"), "")</f>
        <v/>
      </c>
    </row>
    <row r="33" spans="1:15" ht="29.1" customHeight="1" x14ac:dyDescent="0.3">
      <c r="A33" s="57">
        <f>SUBTOTAL(3, $B$3:B32)</f>
        <v>28</v>
      </c>
      <c r="B33" s="57" t="s">
        <v>51</v>
      </c>
      <c r="C33" s="60"/>
      <c r="D33" s="60"/>
      <c r="E33" s="60"/>
      <c r="F33" s="60"/>
      <c r="G33" s="60"/>
      <c r="H33" s="60"/>
      <c r="I33" s="60"/>
      <c r="J33" s="60"/>
      <c r="K33" s="60"/>
      <c r="L33" s="60"/>
      <c r="M33" s="60"/>
      <c r="N33" s="59"/>
      <c r="O33" s="111" t="str">
        <f>IF(COUNTIF(Observation[[#This Row],[JAN]]:Observation[[#This Row],[DEC]],"✓")&gt;0, COUNTIF(Observation[[#This Row],[JAN]]:Observation[[#This Row],[DEC]],"✓"), "")</f>
        <v/>
      </c>
    </row>
    <row r="34" spans="1:15" ht="29.1" customHeight="1" x14ac:dyDescent="0.3">
      <c r="A34" s="57">
        <f>SUBTOTAL(3, $B$3:B33)</f>
        <v>29</v>
      </c>
      <c r="B34" s="57" t="s">
        <v>51</v>
      </c>
      <c r="C34" s="60"/>
      <c r="D34" s="60"/>
      <c r="E34" s="60"/>
      <c r="F34" s="60"/>
      <c r="G34" s="60"/>
      <c r="H34" s="60"/>
      <c r="I34" s="60"/>
      <c r="J34" s="60"/>
      <c r="K34" s="60"/>
      <c r="L34" s="60"/>
      <c r="M34" s="60"/>
      <c r="N34" s="59"/>
      <c r="O34" s="111" t="str">
        <f>IF(COUNTIF(Observation[[#This Row],[JAN]]:Observation[[#This Row],[DEC]],"✓")&gt;0, COUNTIF(Observation[[#This Row],[JAN]]:Observation[[#This Row],[DEC]],"✓"), "")</f>
        <v/>
      </c>
    </row>
    <row r="35" spans="1:15" ht="29.1" customHeight="1" x14ac:dyDescent="0.3">
      <c r="A35" s="57">
        <f>SUBTOTAL(3, $B$3:B34)</f>
        <v>30</v>
      </c>
      <c r="B35" s="57" t="s">
        <v>51</v>
      </c>
      <c r="C35" s="60"/>
      <c r="D35" s="60"/>
      <c r="E35" s="60"/>
      <c r="F35" s="60"/>
      <c r="G35" s="60"/>
      <c r="H35" s="60"/>
      <c r="I35" s="88"/>
      <c r="J35" s="60"/>
      <c r="K35" s="60"/>
      <c r="L35" s="60"/>
      <c r="M35" s="60"/>
      <c r="N35" s="59"/>
      <c r="O35" s="111" t="str">
        <f>IF(COUNTIF(Observation[[#This Row],[JAN]]:Observation[[#This Row],[DEC]],"✓")&gt;0, COUNTIF(Observation[[#This Row],[JAN]]:Observation[[#This Row],[DEC]],"✓"), "")</f>
        <v/>
      </c>
    </row>
    <row r="36" spans="1:15" ht="29.1" customHeight="1" x14ac:dyDescent="0.3">
      <c r="A36" s="57">
        <f>SUBTOTAL(3, $B$3:B35)</f>
        <v>31</v>
      </c>
      <c r="B36" s="57" t="s">
        <v>51</v>
      </c>
      <c r="C36" s="60"/>
      <c r="D36" s="60"/>
      <c r="E36" s="60"/>
      <c r="F36" s="60"/>
      <c r="G36" s="60"/>
      <c r="H36" s="60"/>
      <c r="I36" s="60"/>
      <c r="J36" s="60"/>
      <c r="K36" s="60"/>
      <c r="L36" s="60"/>
      <c r="M36" s="60"/>
      <c r="N36" s="59"/>
      <c r="O36" s="111" t="str">
        <f>IF(COUNTIF(Observation[[#This Row],[JAN]]:Observation[[#This Row],[DEC]],"✓")&gt;0, COUNTIF(Observation[[#This Row],[JAN]]:Observation[[#This Row],[DEC]],"✓"), "")</f>
        <v/>
      </c>
    </row>
    <row r="37" spans="1:15" ht="29.1" customHeight="1" x14ac:dyDescent="0.3">
      <c r="A37" s="57">
        <f>SUBTOTAL(3, $B$3:B36)</f>
        <v>32</v>
      </c>
      <c r="B37" s="57" t="s">
        <v>51</v>
      </c>
      <c r="C37" s="60"/>
      <c r="D37" s="60"/>
      <c r="E37" s="60"/>
      <c r="F37" s="60"/>
      <c r="G37" s="60"/>
      <c r="H37" s="60"/>
      <c r="I37" s="60"/>
      <c r="J37" s="60"/>
      <c r="K37" s="60"/>
      <c r="L37" s="60"/>
      <c r="M37" s="60"/>
      <c r="N37" s="59"/>
      <c r="O37" s="111" t="str">
        <f>IF(COUNTIF(Observation[[#This Row],[JAN]]:Observation[[#This Row],[DEC]],"✓")&gt;0, COUNTIF(Observation[[#This Row],[JAN]]:Observation[[#This Row],[DEC]],"✓"), "")</f>
        <v/>
      </c>
    </row>
    <row r="38" spans="1:15" ht="29.1" customHeight="1" x14ac:dyDescent="0.3">
      <c r="A38" s="57">
        <f>SUBTOTAL(3, $B$3:B37)</f>
        <v>33</v>
      </c>
      <c r="B38" s="57" t="s">
        <v>51</v>
      </c>
      <c r="C38" s="60"/>
      <c r="D38" s="60"/>
      <c r="E38" s="60"/>
      <c r="F38" s="60"/>
      <c r="G38" s="60"/>
      <c r="H38" s="60"/>
      <c r="I38" s="60"/>
      <c r="J38" s="60"/>
      <c r="K38" s="60"/>
      <c r="L38" s="60"/>
      <c r="M38" s="60"/>
      <c r="N38" s="59"/>
      <c r="O38" s="111" t="str">
        <f>IF(COUNTIF(Observation[[#This Row],[JAN]]:Observation[[#This Row],[DEC]],"✓")&gt;0, COUNTIF(Observation[[#This Row],[JAN]]:Observation[[#This Row],[DEC]],"✓"), "")</f>
        <v/>
      </c>
    </row>
    <row r="39" spans="1:15" ht="29.1" customHeight="1" x14ac:dyDescent="0.3">
      <c r="A39" s="57">
        <f>SUBTOTAL(3, $B$3:B38)</f>
        <v>34</v>
      </c>
      <c r="B39" s="57" t="s">
        <v>51</v>
      </c>
      <c r="C39" s="60"/>
      <c r="D39" s="60"/>
      <c r="E39" s="60"/>
      <c r="F39" s="60"/>
      <c r="G39" s="60"/>
      <c r="H39" s="60"/>
      <c r="I39" s="60"/>
      <c r="J39" s="60"/>
      <c r="K39" s="60"/>
      <c r="L39" s="60"/>
      <c r="M39" s="60"/>
      <c r="N39" s="59"/>
      <c r="O39" s="111" t="str">
        <f>IF(COUNTIF(Observation[[#This Row],[JAN]]:Observation[[#This Row],[DEC]],"✓")&gt;0, COUNTIF(Observation[[#This Row],[JAN]]:Observation[[#This Row],[DEC]],"✓"), "")</f>
        <v/>
      </c>
    </row>
    <row r="40" spans="1:15" s="54" customFormat="1" ht="35.25" customHeight="1" thickBot="1" x14ac:dyDescent="0.65">
      <c r="A40" s="83" t="s">
        <v>53</v>
      </c>
      <c r="B40" s="61"/>
      <c r="C40" s="84">
        <f>SUBTOTAL(103,Observation[JAN])</f>
        <v>1</v>
      </c>
      <c r="D40" s="84">
        <f>SUBTOTAL(103,Observation[FEB])</f>
        <v>3</v>
      </c>
      <c r="E40" s="84">
        <f>SUBTOTAL(103,Observation[MAR])</f>
        <v>3</v>
      </c>
      <c r="F40" s="84">
        <f>SUBTOTAL(103,Observation[APR])</f>
        <v>2</v>
      </c>
      <c r="G40" s="84">
        <f>SUBTOTAL(103,Observation[MAY])</f>
        <v>2</v>
      </c>
      <c r="H40" s="84">
        <f>SUBTOTAL(103,Observation[JUN])</f>
        <v>3</v>
      </c>
      <c r="I40" s="84">
        <f>SUBTOTAL(103,Observation[JUL])</f>
        <v>3</v>
      </c>
      <c r="J40" s="84">
        <f>SUBTOTAL(103,Observation[AUG])</f>
        <v>2</v>
      </c>
      <c r="K40" s="84">
        <f>SUBTOTAL(103,Observation[SEP])</f>
        <v>3</v>
      </c>
      <c r="L40" s="58">
        <f>SUBTOTAL(103,Observation[OCT])</f>
        <v>3</v>
      </c>
      <c r="M40" s="84">
        <f>SUBTOTAL(103,Observation[NOV])</f>
        <v>2</v>
      </c>
      <c r="N40" s="84">
        <f>SUBTOTAL(103,Observation[DEC])</f>
        <v>2</v>
      </c>
      <c r="O40" s="112"/>
    </row>
  </sheetData>
  <mergeCells count="3">
    <mergeCell ref="C4:N4"/>
    <mergeCell ref="A4:B4"/>
    <mergeCell ref="C2:O2"/>
  </mergeCells>
  <phoneticPr fontId="6" type="noConversion"/>
  <conditionalFormatting sqref="C6:N39">
    <cfRule type="containsText" dxfId="28" priority="4" operator="containsText" text="✓">
      <formula>NOT(ISERROR(SEARCH("✓",C6)))</formula>
    </cfRule>
  </conditionalFormatting>
  <conditionalFormatting sqref="O1:O1048576">
    <cfRule type="dataBar" priority="1">
      <dataBar>
        <cfvo type="num" val="0"/>
        <cfvo type="num" val="12"/>
        <color rgb="FF00B050"/>
      </dataBar>
      <extLst>
        <ext xmlns:x14="http://schemas.microsoft.com/office/spreadsheetml/2009/9/main" uri="{B025F937-C7B1-47D3-B67F-A62EFF666E3E}">
          <x14:id>{E3FB17DA-DB4E-4B0B-A3E8-672FFF6FD0D2}</x14:id>
        </ext>
      </extLs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3FB17DA-DB4E-4B0B-A3E8-672FFF6FD0D2}">
            <x14:dataBar minLength="0" maxLength="100" border="1" gradient="0">
              <x14:cfvo type="num">
                <xm:f>0</xm:f>
              </x14:cfvo>
              <x14:cfvo type="num">
                <xm:f>12</xm:f>
              </x14:cfvo>
              <x14:borderColor theme="9"/>
              <x14:negativeFillColor rgb="FFFF0000"/>
              <x14:axisColor rgb="FF000000"/>
            </x14:dataBar>
          </x14:cfRule>
          <xm:sqref>O1:O1048576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Hidden Sheet, Store</vt:lpstr>
      <vt:lpstr>Developmental Milestone</vt:lpstr>
      <vt:lpstr>Dashboard Dev Milestones</vt:lpstr>
      <vt:lpstr>Activity</vt:lpstr>
      <vt:lpstr>Observation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KHAN</dc:creator>
  <cp:lastModifiedBy>MUHAMMAD KHAN</cp:lastModifiedBy>
  <dcterms:created xsi:type="dcterms:W3CDTF">2025-08-10T04:18:39Z</dcterms:created>
  <dcterms:modified xsi:type="dcterms:W3CDTF">2025-08-19T04:18:03Z</dcterms:modified>
</cp:coreProperties>
</file>